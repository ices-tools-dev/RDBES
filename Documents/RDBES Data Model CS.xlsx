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icesit-my.sharepoint.com/personal/henrikkn_ices_dk/Documents/RDBES/Data model/BACKUPs Data model Published/2026 02 02 After yellow removed no change/"/>
    </mc:Choice>
  </mc:AlternateContent>
  <xr:revisionPtr revIDLastSave="34" documentId="13_ncr:1_{36D1D1F4-1D7D-4219-B6E4-AAA80DF070B7}" xr6:coauthVersionLast="47" xr6:coauthVersionMax="47" xr10:uidLastSave="{2ABA0EBA-0C1D-43BE-9D22-3F7298C72B29}"/>
  <bookViews>
    <workbookView xWindow="57495" yWindow="0" windowWidth="18720" windowHeight="13860" tabRatio="781" activeTab="1" xr2:uid="{00000000-000D-0000-FFFF-FFFF00000000}"/>
  </bookViews>
  <sheets>
    <sheet name="Model v1.19.31" sheetId="1" r:id="rId1"/>
    <sheet name="Design" sheetId="5" r:id="rId2"/>
    <sheet name="Temporal Event" sheetId="21" r:id="rId3"/>
    <sheet name="Location" sheetId="20" r:id="rId4"/>
    <sheet name="Sampling Details" sheetId="14" r:id="rId5"/>
    <sheet name="Vessel Selection" sheetId="3" r:id="rId6"/>
    <sheet name="Fishing Trip" sheetId="13" r:id="rId7"/>
    <sheet name="Fishing Operation" sheetId="8" r:id="rId8"/>
    <sheet name="Onshore Event" sheetId="18" r:id="rId9"/>
    <sheet name="Landing event" sheetId="10" r:id="rId10"/>
    <sheet name="Species Selection" sheetId="12" r:id="rId11"/>
    <sheet name="Sample" sheetId="6" r:id="rId12"/>
    <sheet name="Frequency Measure" sheetId="9" r:id="rId13"/>
    <sheet name="Biological Variable" sheetId="15" r:id="rId14"/>
  </sheets>
  <definedNames>
    <definedName name="_xlnm._FilterDatabase" localSheetId="13" hidden="1">'Biological Variable'!$A$4:$V$27</definedName>
    <definedName name="_xlnm._FilterDatabase" localSheetId="7" hidden="1">'Fishing Operation'!$A$1:$N$65</definedName>
    <definedName name="_xlnm._FilterDatabase" localSheetId="9" hidden="1">'Landing event'!$A$1:$M$48</definedName>
    <definedName name="_xlnm._FilterDatabase" localSheetId="11" hidden="1">Sample!$A$4:$V$55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1" l="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B5" i="1"/>
  <c r="C5" i="1"/>
  <c r="B6" i="1"/>
  <c r="C6" i="1"/>
  <c r="B7" i="1"/>
  <c r="C7" i="1"/>
  <c r="B8" i="1"/>
  <c r="C8" i="1"/>
  <c r="B9" i="1"/>
  <c r="C9" i="1"/>
  <c r="B10" i="1"/>
  <c r="C10" i="1"/>
  <c r="B11" i="1"/>
  <c r="C11" i="1"/>
  <c r="B12" i="1"/>
  <c r="C12" i="1"/>
  <c r="V6" i="1" l="1"/>
  <c r="W6" i="1"/>
  <c r="V7" i="1"/>
  <c r="W7" i="1"/>
  <c r="V8" i="1"/>
  <c r="W8" i="1"/>
  <c r="V9" i="1"/>
  <c r="W9" i="1"/>
  <c r="V30" i="1"/>
  <c r="W30" i="1"/>
  <c r="V31" i="1"/>
  <c r="W31" i="1"/>
  <c r="V32" i="1"/>
  <c r="W32" i="1"/>
  <c r="V33" i="1"/>
  <c r="W33" i="1"/>
  <c r="V34" i="1"/>
  <c r="W34" i="1"/>
  <c r="V35" i="1"/>
  <c r="W35" i="1"/>
  <c r="V36" i="1"/>
  <c r="W36" i="1"/>
  <c r="V37" i="1"/>
  <c r="W37" i="1"/>
  <c r="V38" i="1"/>
  <c r="W38" i="1"/>
  <c r="V39" i="1"/>
  <c r="W39" i="1"/>
  <c r="V40" i="1"/>
  <c r="W40" i="1"/>
  <c r="V41" i="1"/>
  <c r="W41" i="1"/>
  <c r="V42" i="1"/>
  <c r="W42" i="1"/>
  <c r="V43" i="1" l="1"/>
  <c r="W43" i="1"/>
  <c r="W29" i="1"/>
  <c r="V29"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N101" i="1"/>
  <c r="O101" i="1"/>
  <c r="N102" i="1"/>
  <c r="O102" i="1"/>
  <c r="N103" i="1"/>
  <c r="O103" i="1"/>
  <c r="N104" i="1"/>
  <c r="O104" i="1"/>
  <c r="N105" i="1"/>
  <c r="O105" i="1"/>
  <c r="N106" i="1"/>
  <c r="O106" i="1"/>
  <c r="N107" i="1"/>
  <c r="O107" i="1"/>
  <c r="N108" i="1"/>
  <c r="O108" i="1"/>
  <c r="N109" i="1"/>
  <c r="O109" i="1"/>
  <c r="N110" i="1"/>
  <c r="O110" i="1"/>
  <c r="N111" i="1"/>
  <c r="O111" i="1"/>
  <c r="N112" i="1"/>
  <c r="O112" i="1"/>
  <c r="J53" i="1"/>
  <c r="K53" i="1"/>
  <c r="N34" i="1" l="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N7" i="1"/>
  <c r="N8" i="1"/>
  <c r="N9" i="1"/>
  <c r="N10" i="1"/>
  <c r="N11" i="1"/>
  <c r="N12" i="1"/>
  <c r="N13" i="1"/>
  <c r="N14" i="1"/>
  <c r="N15" i="1"/>
  <c r="N16" i="1"/>
  <c r="N17" i="1"/>
  <c r="N18" i="1"/>
  <c r="N19" i="1"/>
  <c r="N20" i="1"/>
  <c r="N21" i="1"/>
  <c r="N22" i="1"/>
  <c r="N23" i="1"/>
  <c r="N24" i="1"/>
  <c r="N25" i="1"/>
  <c r="N26" i="1"/>
  <c r="N27" i="1"/>
  <c r="N28" i="1"/>
  <c r="N29" i="1"/>
  <c r="N30" i="1"/>
  <c r="N31" i="1"/>
  <c r="N32" i="1"/>
  <c r="N33" i="1"/>
  <c r="Z32" i="1" l="1"/>
  <c r="AA32" i="1"/>
  <c r="Z35" i="1"/>
  <c r="AA35" i="1"/>
  <c r="Z36" i="1"/>
  <c r="AA36" i="1"/>
  <c r="Z30" i="1"/>
  <c r="AA30" i="1"/>
  <c r="Z31" i="1"/>
  <c r="AA31" i="1"/>
  <c r="W10" i="1"/>
  <c r="W11" i="1"/>
  <c r="W12" i="1"/>
  <c r="W13" i="1"/>
  <c r="W14" i="1"/>
  <c r="W15" i="1"/>
  <c r="W16" i="1"/>
  <c r="W17" i="1"/>
  <c r="W18" i="1"/>
  <c r="W19" i="1"/>
  <c r="W20" i="1"/>
  <c r="W21" i="1"/>
  <c r="W22" i="1"/>
  <c r="W23" i="1"/>
  <c r="W24" i="1"/>
  <c r="W25" i="1"/>
  <c r="V10" i="1"/>
  <c r="V11" i="1"/>
  <c r="V12" i="1"/>
  <c r="V13" i="1"/>
  <c r="V14" i="1"/>
  <c r="V15" i="1"/>
  <c r="V16" i="1"/>
  <c r="V17" i="1"/>
  <c r="V18" i="1"/>
  <c r="V19" i="1"/>
  <c r="V20" i="1"/>
  <c r="V21" i="1"/>
  <c r="V22" i="1"/>
  <c r="V23" i="1"/>
  <c r="V24" i="1"/>
  <c r="V25" i="1"/>
  <c r="U5" i="1" l="1"/>
  <c r="U6" i="1"/>
  <c r="U7" i="1"/>
  <c r="U8" i="1"/>
  <c r="AH5" i="1" l="1"/>
  <c r="AH6" i="1"/>
  <c r="AH7" i="1"/>
  <c r="AH8" i="1"/>
  <c r="AH9" i="1"/>
  <c r="AH10" i="1"/>
  <c r="AH11" i="1"/>
  <c r="AH12" i="1"/>
  <c r="AH13" i="1"/>
  <c r="AH14" i="1"/>
  <c r="AH15" i="1"/>
  <c r="AH16" i="1"/>
  <c r="AH17" i="1"/>
  <c r="AH18" i="1"/>
  <c r="AH19" i="1"/>
  <c r="AH20" i="1"/>
  <c r="AH4" i="1"/>
  <c r="AD5" i="1"/>
  <c r="AD6" i="1"/>
  <c r="AD7" i="1"/>
  <c r="AD8" i="1"/>
  <c r="AD9" i="1"/>
  <c r="AD10" i="1"/>
  <c r="AD11" i="1"/>
  <c r="AD12" i="1"/>
  <c r="AD13" i="1"/>
  <c r="AD4" i="1"/>
  <c r="AA5" i="1"/>
  <c r="AA6" i="1"/>
  <c r="AA7" i="1"/>
  <c r="AA8" i="1"/>
  <c r="AA9" i="1"/>
  <c r="AA10" i="1"/>
  <c r="AA11" i="1"/>
  <c r="AA12" i="1"/>
  <c r="AA13" i="1"/>
  <c r="AA14" i="1"/>
  <c r="AA15" i="1"/>
  <c r="AA16" i="1"/>
  <c r="AA17" i="1"/>
  <c r="AA18" i="1"/>
  <c r="AA19" i="1"/>
  <c r="AA20" i="1"/>
  <c r="AA21" i="1"/>
  <c r="AA22" i="1"/>
  <c r="AA23" i="1"/>
  <c r="AA24" i="1"/>
  <c r="AA25" i="1"/>
  <c r="AA26" i="1"/>
  <c r="AA27" i="1"/>
  <c r="AA28" i="1"/>
  <c r="AA29" i="1"/>
  <c r="Z5" i="1"/>
  <c r="Z6" i="1"/>
  <c r="Z7" i="1"/>
  <c r="Z8" i="1"/>
  <c r="Z9" i="1"/>
  <c r="Z10" i="1"/>
  <c r="Z11" i="1"/>
  <c r="Z12" i="1"/>
  <c r="Z13" i="1"/>
  <c r="Z14" i="1"/>
  <c r="Z15" i="1"/>
  <c r="Z16" i="1"/>
  <c r="Z17" i="1"/>
  <c r="Z18" i="1"/>
  <c r="Z19" i="1"/>
  <c r="Z20" i="1"/>
  <c r="Z21" i="1"/>
  <c r="Z22" i="1"/>
  <c r="Z23" i="1"/>
  <c r="Z24" i="1"/>
  <c r="Z25" i="1"/>
  <c r="Z26" i="1"/>
  <c r="Z27" i="1"/>
  <c r="Z28" i="1"/>
  <c r="Z29" i="1"/>
  <c r="Z4" i="1"/>
  <c r="V57" i="1"/>
  <c r="V58" i="1"/>
  <c r="V59" i="1"/>
  <c r="V60" i="1"/>
  <c r="V61" i="1"/>
  <c r="V62" i="1"/>
  <c r="V63" i="1"/>
  <c r="V64" i="1"/>
  <c r="V65" i="1"/>
  <c r="V66" i="1"/>
  <c r="V67" i="1"/>
  <c r="V68" i="1"/>
  <c r="V69" i="1"/>
  <c r="V56" i="1"/>
  <c r="V5" i="1"/>
  <c r="V4" i="1"/>
  <c r="N68" i="1"/>
  <c r="N69" i="1"/>
  <c r="N70" i="1"/>
  <c r="N71" i="1"/>
  <c r="N67" i="1"/>
  <c r="N38" i="1"/>
  <c r="N39" i="1"/>
  <c r="N40" i="1"/>
  <c r="N41" i="1"/>
  <c r="N42" i="1"/>
  <c r="N43" i="1"/>
  <c r="N44" i="1"/>
  <c r="N45" i="1"/>
  <c r="N46" i="1"/>
  <c r="N47" i="1"/>
  <c r="N48" i="1"/>
  <c r="N49" i="1"/>
  <c r="N50" i="1"/>
  <c r="N51" i="1"/>
  <c r="N52" i="1"/>
  <c r="N53" i="1"/>
  <c r="N54" i="1"/>
  <c r="N55" i="1"/>
  <c r="N56" i="1"/>
  <c r="N57" i="1"/>
  <c r="N58" i="1"/>
  <c r="N59" i="1"/>
  <c r="N60" i="1"/>
  <c r="N61" i="1"/>
  <c r="N37" i="1"/>
  <c r="J28" i="1"/>
  <c r="R4" i="1"/>
  <c r="N5" i="1"/>
  <c r="N6" i="1"/>
  <c r="J4" i="1"/>
  <c r="G5" i="1"/>
  <c r="G6" i="1"/>
  <c r="G7" i="1"/>
  <c r="G8" i="1"/>
  <c r="G9" i="1"/>
  <c r="F5" i="1"/>
  <c r="F6" i="1"/>
  <c r="F7" i="1"/>
  <c r="F8" i="1"/>
  <c r="F9" i="1"/>
  <c r="F4" i="1"/>
  <c r="B4" i="1" l="1"/>
  <c r="N4" i="1" l="1"/>
  <c r="AI5" i="1" l="1"/>
  <c r="AI6" i="1"/>
  <c r="AI7" i="1"/>
  <c r="AI8" i="1"/>
  <c r="AI9" i="1"/>
  <c r="AI10" i="1"/>
  <c r="AI11" i="1"/>
  <c r="AI12" i="1"/>
  <c r="AI13" i="1"/>
  <c r="AI14" i="1"/>
  <c r="AI15" i="1"/>
  <c r="AI16" i="1"/>
  <c r="AI17" i="1"/>
  <c r="AI18" i="1"/>
  <c r="AI19" i="1"/>
  <c r="AI20" i="1"/>
  <c r="AE5" i="1"/>
  <c r="AE6" i="1"/>
  <c r="AE7" i="1"/>
  <c r="AE8" i="1"/>
  <c r="AE9" i="1"/>
  <c r="AE10" i="1"/>
  <c r="AE11" i="1"/>
  <c r="AE12" i="1"/>
  <c r="AE13" i="1"/>
  <c r="W57" i="1"/>
  <c r="W58" i="1"/>
  <c r="W59" i="1"/>
  <c r="W60" i="1"/>
  <c r="W61" i="1"/>
  <c r="W62" i="1"/>
  <c r="W63" i="1"/>
  <c r="W64" i="1"/>
  <c r="W65" i="1"/>
  <c r="W66" i="1"/>
  <c r="W67" i="1"/>
  <c r="W68" i="1"/>
  <c r="W69" i="1"/>
  <c r="W5" i="1"/>
  <c r="O68" i="1"/>
  <c r="O69" i="1"/>
  <c r="O70" i="1"/>
  <c r="O71" i="1"/>
  <c r="O60" i="1"/>
  <c r="O61" i="1"/>
  <c r="O38" i="1"/>
  <c r="O39" i="1"/>
  <c r="O40" i="1"/>
  <c r="O41" i="1"/>
  <c r="O42" i="1"/>
  <c r="O43" i="1"/>
  <c r="O44" i="1"/>
  <c r="O45" i="1"/>
  <c r="O46" i="1"/>
  <c r="O47" i="1"/>
  <c r="O48" i="1"/>
  <c r="O49" i="1"/>
  <c r="O50" i="1"/>
  <c r="O51" i="1"/>
  <c r="O52" i="1"/>
  <c r="O53" i="1"/>
  <c r="O54" i="1"/>
  <c r="O55" i="1"/>
  <c r="O56" i="1"/>
  <c r="O57" i="1"/>
  <c r="O58" i="1"/>
  <c r="O59" i="1"/>
  <c r="O37" i="1"/>
  <c r="O5" i="1"/>
  <c r="O6" i="1"/>
  <c r="Y5" i="1" l="1"/>
  <c r="Y6" i="1"/>
  <c r="Y7" i="1"/>
  <c r="Y8" i="1"/>
  <c r="Y9" i="1"/>
  <c r="Y10" i="1"/>
  <c r="Y11" i="1"/>
  <c r="Y12" i="1"/>
  <c r="Y13" i="1"/>
  <c r="Y14" i="1"/>
  <c r="Y15" i="1"/>
  <c r="Y16" i="1"/>
  <c r="Y17" i="1"/>
  <c r="Y18" i="1"/>
  <c r="Y19" i="1"/>
  <c r="Y20" i="1"/>
  <c r="Y21" i="1"/>
  <c r="Y22" i="1"/>
  <c r="Y23" i="1"/>
  <c r="Y24" i="1"/>
  <c r="Y25" i="1"/>
  <c r="Y26" i="1"/>
  <c r="Y27" i="1"/>
  <c r="Y28" i="1"/>
  <c r="Y29" i="1"/>
  <c r="Y30" i="1"/>
  <c r="I31" i="1" l="1"/>
  <c r="I32" i="1"/>
  <c r="I35" i="1"/>
  <c r="I36" i="1"/>
  <c r="I37" i="1"/>
  <c r="I38" i="1"/>
  <c r="I39" i="1"/>
  <c r="I40" i="1"/>
  <c r="I41" i="1"/>
  <c r="I30" i="1"/>
  <c r="I18" i="1" l="1"/>
  <c r="I19" i="1"/>
  <c r="I20" i="1"/>
  <c r="I21" i="1"/>
  <c r="I22" i="1"/>
  <c r="I23" i="1"/>
  <c r="I24" i="1"/>
  <c r="I25" i="1"/>
  <c r="I17" i="1"/>
  <c r="K28" i="1"/>
  <c r="AG5" i="1"/>
  <c r="AG6" i="1"/>
  <c r="AG7" i="1"/>
  <c r="AG8" i="1"/>
  <c r="AG9" i="1"/>
  <c r="AG10" i="1"/>
  <c r="AG11" i="1"/>
  <c r="AG12" i="1"/>
  <c r="AG13" i="1"/>
  <c r="AG14" i="1"/>
  <c r="AG15" i="1"/>
  <c r="AG16" i="1"/>
  <c r="AG17" i="1"/>
  <c r="AG18" i="1"/>
  <c r="AG19" i="1"/>
  <c r="AC5" i="1"/>
  <c r="AC6" i="1"/>
  <c r="AC7" i="1"/>
  <c r="AC8" i="1"/>
  <c r="AC9" i="1"/>
  <c r="AC10" i="1"/>
  <c r="AA4" i="1"/>
  <c r="U9" i="1" l="1"/>
  <c r="U10" i="1"/>
  <c r="U11" i="1"/>
  <c r="U12" i="1"/>
  <c r="U13" i="1"/>
  <c r="U14" i="1"/>
  <c r="U15" i="1"/>
  <c r="U4" i="1"/>
  <c r="Q5" i="1"/>
  <c r="Q6" i="1"/>
  <c r="Q7" i="1"/>
  <c r="Q8" i="1"/>
  <c r="Q9" i="1"/>
  <c r="Q10" i="1"/>
  <c r="Q11" i="1"/>
  <c r="Q12" i="1"/>
  <c r="Q13" i="1"/>
  <c r="Q14" i="1"/>
  <c r="Q15" i="1"/>
  <c r="Q16" i="1"/>
  <c r="Q17" i="1"/>
  <c r="Q18" i="1"/>
  <c r="Q19" i="1"/>
  <c r="Q20" i="1"/>
  <c r="Q21" i="1"/>
  <c r="Q22" i="1"/>
  <c r="Q23" i="1"/>
  <c r="Q24" i="1"/>
  <c r="Q25" i="1"/>
  <c r="Q26" i="1"/>
  <c r="Q27" i="1"/>
  <c r="Q28" i="1"/>
  <c r="Q29" i="1"/>
  <c r="U43" i="1"/>
  <c r="U44" i="1"/>
  <c r="U45" i="1"/>
  <c r="U26" i="1"/>
  <c r="U27" i="1"/>
  <c r="U28" i="1"/>
  <c r="U29" i="1"/>
  <c r="U30" i="1"/>
  <c r="U31" i="1"/>
  <c r="U32" i="1"/>
  <c r="U35" i="1"/>
  <c r="U36" i="1"/>
  <c r="U37" i="1"/>
  <c r="W56" i="1"/>
  <c r="U25" i="1"/>
  <c r="I5" i="1"/>
  <c r="I6" i="1"/>
  <c r="I7" i="1"/>
  <c r="I8" i="1"/>
  <c r="I9" i="1"/>
  <c r="I10" i="1"/>
  <c r="I11" i="1"/>
  <c r="I12" i="1"/>
  <c r="I13" i="1"/>
  <c r="I4" i="1"/>
  <c r="E5" i="1" l="1"/>
  <c r="E6" i="1"/>
  <c r="E7" i="1"/>
  <c r="E8" i="1"/>
  <c r="E9" i="1"/>
  <c r="E10" i="1"/>
  <c r="E4" i="1"/>
  <c r="G10" i="1"/>
  <c r="F10" i="1"/>
  <c r="A5" i="1"/>
  <c r="A6" i="1"/>
  <c r="A7" i="1"/>
  <c r="A8" i="1"/>
  <c r="A9" i="1"/>
  <c r="A10" i="1"/>
  <c r="A11" i="1"/>
  <c r="A4" i="1"/>
  <c r="W4" i="1" l="1"/>
  <c r="K4" i="1" l="1"/>
  <c r="C4" i="1"/>
  <c r="Q36" i="1"/>
  <c r="Q37" i="1"/>
  <c r="Q38" i="1"/>
  <c r="Q39" i="1"/>
  <c r="Q40" i="1"/>
  <c r="Q41" i="1"/>
  <c r="Q42" i="1"/>
  <c r="Q43" i="1"/>
  <c r="T43" i="1"/>
  <c r="T44" i="1"/>
  <c r="Q30" i="1"/>
  <c r="Q31" i="1"/>
  <c r="Q32" i="1"/>
  <c r="Q35" i="1"/>
  <c r="U38" i="1"/>
  <c r="G4" i="1"/>
  <c r="AI4" i="1"/>
  <c r="AG4" i="1"/>
  <c r="I87" i="1"/>
  <c r="I14" i="1"/>
  <c r="I15" i="1"/>
  <c r="O4" i="1"/>
  <c r="Y31" i="1"/>
  <c r="Y32" i="1"/>
  <c r="Y35" i="1"/>
  <c r="Y36" i="1"/>
  <c r="Y37" i="1"/>
  <c r="Y38" i="1"/>
  <c r="Y39" i="1"/>
  <c r="Y40" i="1"/>
  <c r="Y4" i="1"/>
  <c r="AC11" i="1"/>
  <c r="AC12" i="1"/>
  <c r="AC13" i="1"/>
  <c r="AC14" i="1"/>
  <c r="AC15" i="1"/>
  <c r="AC16" i="1"/>
  <c r="AC17" i="1"/>
  <c r="AC18" i="1"/>
  <c r="AC19" i="1"/>
  <c r="AC20" i="1"/>
  <c r="AC21" i="1"/>
  <c r="AE4" i="1"/>
  <c r="AC4" i="1"/>
  <c r="S4" i="1"/>
  <c r="Q4" i="1"/>
  <c r="I84" i="1"/>
  <c r="I85" i="1"/>
  <c r="I86" i="1"/>
  <c r="I88" i="1"/>
  <c r="I89" i="1"/>
  <c r="I90" i="1"/>
  <c r="O67" i="1"/>
  <c r="T45" i="1"/>
  <c r="T46" i="1"/>
</calcChain>
</file>

<file path=xl/sharedStrings.xml><?xml version="1.0" encoding="utf-8"?>
<sst xmlns="http://schemas.openxmlformats.org/spreadsheetml/2006/main" count="4020" uniqueCount="1517">
  <si>
    <t>Design Table (DE)</t>
  </si>
  <si>
    <t>FK</t>
  </si>
  <si>
    <t>Landing Event (LE)</t>
  </si>
  <si>
    <t>LandingEventId</t>
  </si>
  <si>
    <t>BiovarID</t>
  </si>
  <si>
    <t>Order</t>
  </si>
  <si>
    <t>Type</t>
  </si>
  <si>
    <t>Basic checks</t>
  </si>
  <si>
    <t>Description</t>
  </si>
  <si>
    <t>Record type</t>
  </si>
  <si>
    <t>String</t>
  </si>
  <si>
    <t>M</t>
  </si>
  <si>
    <t>Y</t>
  </si>
  <si>
    <t>Integer</t>
  </si>
  <si>
    <t>Code list</t>
  </si>
  <si>
    <t>Landing category</t>
  </si>
  <si>
    <t>Commercial size category scale</t>
  </si>
  <si>
    <t>O</t>
  </si>
  <si>
    <t>Commercial size category</t>
  </si>
  <si>
    <t>Commercial sorting category in the given scale (optional for "Unsorted"). (EC, 2006) and later amendments when scale is "EU".</t>
  </si>
  <si>
    <t>Sex</t>
  </si>
  <si>
    <t>Unit type</t>
  </si>
  <si>
    <t>Presentation</t>
  </si>
  <si>
    <t>The sampling unit total, e.g. the total number of boxes, baskets, etc. used to quantify the sampling unit.</t>
  </si>
  <si>
    <t>The number of sampling units sampled.</t>
  </si>
  <si>
    <t>Fishing validity</t>
  </si>
  <si>
    <t>Catch registration</t>
  </si>
  <si>
    <t>Time</t>
  </si>
  <si>
    <t>Fishing duration</t>
  </si>
  <si>
    <t>Area</t>
  </si>
  <si>
    <t>Statistical rectangle</t>
  </si>
  <si>
    <t>Gear type</t>
  </si>
  <si>
    <t>Mesh size</t>
  </si>
  <si>
    <t>Selection device</t>
  </si>
  <si>
    <t>Mesh size in selection device</t>
  </si>
  <si>
    <t>Landing country</t>
  </si>
  <si>
    <t>Landing location type</t>
  </si>
  <si>
    <t>Landings date</t>
  </si>
  <si>
    <t>Landing time</t>
  </si>
  <si>
    <t>Selection method</t>
  </si>
  <si>
    <t>Species code</t>
  </si>
  <si>
    <t>Hide</t>
  </si>
  <si>
    <t>Sampling scheme</t>
  </si>
  <si>
    <t>1-300</t>
  </si>
  <si>
    <t>Sampling country</t>
  </si>
  <si>
    <t>Departure location</t>
  </si>
  <si>
    <t>Departure time</t>
  </si>
  <si>
    <t>Arrival location</t>
  </si>
  <si>
    <t>“YYYY-MM-DD” (ISO 8601). The date of arrival of the trip.</t>
  </si>
  <si>
    <t>Arrival time</t>
  </si>
  <si>
    <t>Sampling institution</t>
  </si>
  <si>
    <t>The sampling institution, i.e. those who actually did the sampling. This might not be the organization who ultimately provide the data to the RDB.</t>
  </si>
  <si>
    <t>Sampling date</t>
  </si>
  <si>
    <t>Sampling time</t>
  </si>
  <si>
    <t>Aggregation level</t>
  </si>
  <si>
    <t>Fixed value DE.</t>
  </si>
  <si>
    <t>Year</t>
  </si>
  <si>
    <t>PK</t>
  </si>
  <si>
    <t>Time unit</t>
  </si>
  <si>
    <t>Type of location</t>
  </si>
  <si>
    <t>Fishing Trip (FT)</t>
  </si>
  <si>
    <t>Year when sampling was done</t>
  </si>
  <si>
    <t>Sampling Details (SD)</t>
  </si>
  <si>
    <t>Fixed value SD.</t>
  </si>
  <si>
    <t>VesselDetailsID</t>
  </si>
  <si>
    <t>This is the sampling frame stratum. The field is kept here, because you could have different hierarchies between strata in a sampling scheme eg. a regional scheme. The name of the stratum, all strata should have a record in this table, one record per stratum.</t>
  </si>
  <si>
    <t>Fishing Operation (FO)</t>
  </si>
  <si>
    <t>FishingOperationId</t>
  </si>
  <si>
    <t>H=haul. T=trip. Use Haul if associated catch is recorded at haul level. Use Trip is catch is recorded at trip level. Note: Recording of trip in FO table is required so that the hierarchy does not have to branch at trip level.</t>
  </si>
  <si>
    <t>Shooting (start) position in decimal degrees of latitude.</t>
  </si>
  <si>
    <t>Shooting (start) position in decimal degrees of longitude.</t>
  </si>
  <si>
    <t>Hauling (stop) position in decimal degrees of latitude.</t>
  </si>
  <si>
    <t>Hauling (stop) position in decimal degrees of longitude.</t>
  </si>
  <si>
    <t>Mean depth of location (average of location depth at start and end of the fishing operation)</t>
  </si>
  <si>
    <t>FAO Code of gear</t>
  </si>
  <si>
    <t>Type of LandingEvent location e.g. Port, Market, Auction hall, factory ship</t>
  </si>
  <si>
    <t>The time that this LandingEvent took place (HH:mm)</t>
  </si>
  <si>
    <t>The FAO gear code.</t>
  </si>
  <si>
    <t xml:space="preserve">Time spend sampling e.g. 1 or 2 </t>
  </si>
  <si>
    <t>Hierarchy</t>
  </si>
  <si>
    <t>Number of species selected for sampling</t>
  </si>
  <si>
    <t>Mixed trip</t>
  </si>
  <si>
    <t>Foreign key/link to the Design table</t>
  </si>
  <si>
    <t>Foreign key/link to the Sampling Details table</t>
  </si>
  <si>
    <t>DV, O</t>
  </si>
  <si>
    <t>OnShoreEventID</t>
  </si>
  <si>
    <t>M/O</t>
  </si>
  <si>
    <t xml:space="preserve">VesselDetailsID </t>
  </si>
  <si>
    <t>LOCODE</t>
  </si>
  <si>
    <t>LOCODE. The landing location. A more clearly defined field for the landing harbour. One problem with having harbour in the tr table is that it assumes that a single trip has a single landing port, this may not be the case.</t>
  </si>
  <si>
    <t>The date that this LandingEvent took place.  For situations like sampling mixed boxes of fish you might not know the landing date.</t>
  </si>
  <si>
    <t>Target species assembleage - details to be decided after STECF metier workshop</t>
  </si>
  <si>
    <t>Target species assemblage</t>
  </si>
  <si>
    <t>DV, M</t>
  </si>
  <si>
    <t>OnshoreEventID</t>
  </si>
  <si>
    <t>The stratum of this sample, 'U' if unstratified</t>
  </si>
  <si>
    <t>FishingOperationID</t>
  </si>
  <si>
    <t>LocationId</t>
  </si>
  <si>
    <t>Short Description</t>
  </si>
  <si>
    <t>PK/FK</t>
  </si>
  <si>
    <t>Field Name</t>
  </si>
  <si>
    <t>Design ID</t>
  </si>
  <si>
    <t>Automatic ID - PK of table</t>
  </si>
  <si>
    <t>Fixed value ('DE')</t>
  </si>
  <si>
    <t>Sampling Scheme Name</t>
  </si>
  <si>
    <t>Unique combination of fields</t>
  </si>
  <si>
    <t>Required?</t>
  </si>
  <si>
    <t>Upper Hierarchy</t>
  </si>
  <si>
    <t>A code refering to the upper hierarchy that the data was collected using (see documentation for explanation).</t>
  </si>
  <si>
    <t>Year of sampling</t>
  </si>
  <si>
    <t>Fixed value ('SD')</t>
  </si>
  <si>
    <t>Sampling Country</t>
  </si>
  <si>
    <t>Sampling Institute</t>
  </si>
  <si>
    <t>DE</t>
  </si>
  <si>
    <t>Foreign key/link to the TemporalEvent table</t>
  </si>
  <si>
    <t>Foreign key/link to theVesselDetails table</t>
  </si>
  <si>
    <t>Name of stratum ('U' for unstratified)</t>
  </si>
  <si>
    <t>Inclusion probability</t>
  </si>
  <si>
    <t>The method of selecting vessels for sampling</t>
  </si>
  <si>
    <t>Foreign key/link to the OnshoreEvent table</t>
  </si>
  <si>
    <t>Foreign key/link to the Vessel table</t>
  </si>
  <si>
    <t>Foreign key/link to the VesselDetails table</t>
  </si>
  <si>
    <t>Departure date</t>
  </si>
  <si>
    <t>LOCODE of arrival location</t>
  </si>
  <si>
    <t>Arrival Date</t>
  </si>
  <si>
    <t>Fixed value ('FT')</t>
  </si>
  <si>
    <t>Foreign key/link to the FishingTrip table</t>
  </si>
  <si>
    <t>Fixed value ('FO')</t>
  </si>
  <si>
    <t>Haul validity</t>
  </si>
  <si>
    <t>Aggrgation level (H=haul. T=trip)</t>
  </si>
  <si>
    <t>I=Invalid. V=Valid. Use I if some technical issue occurred during the fishing opertaion (e.g., crossed doors, loss of a part of the nets during retrieval, etc). Do not use "I" to signal sampling problems - these should be flagged elsewhere.</t>
  </si>
  <si>
    <t>Level 5 metier</t>
  </si>
  <si>
    <t>Level 6 metier</t>
  </si>
  <si>
    <t>Selection device mesh size (mm)</t>
  </si>
  <si>
    <t>The method of selecting hauls for sampling</t>
  </si>
  <si>
    <t>Area level 5 in the DCR</t>
  </si>
  <si>
    <t>Mean depth of gear</t>
  </si>
  <si>
    <t>Mean depth of location</t>
  </si>
  <si>
    <t>Foreign key/link to the SamplingDetails table</t>
  </si>
  <si>
    <t>LOCODE of sampling location</t>
  </si>
  <si>
    <t>LOCODE of sampling location.  If sampling at a market this could be the LOCODE of the town the market is based in.</t>
  </si>
  <si>
    <t>The unit of the time spent sampling</t>
  </si>
  <si>
    <t>The unit of the time spent sampling e.g. 1 day, ½ day, hour, week</t>
  </si>
  <si>
    <t>Time spent sampling</t>
  </si>
  <si>
    <t>Date</t>
  </si>
  <si>
    <t>The method of selecting onshore events for sampling</t>
  </si>
  <si>
    <t>Type of location e.g. market, port, processor</t>
  </si>
  <si>
    <t>Fixed value ('OS')</t>
  </si>
  <si>
    <t>Fixed value ('LE')</t>
  </si>
  <si>
    <t>Have these landings come from a mix of trips?  E.g. a single box of fish filled from a variety of different individual fishing trips.  Yes/No - If not sure then 'Yes' should be selected.</t>
  </si>
  <si>
    <t xml:space="preserve">Have these landings come from a mix of trips? </t>
  </si>
  <si>
    <t>The LOCODE for the location of this LandingEvent.</t>
  </si>
  <si>
    <t>Type of LandingEvent location</t>
  </si>
  <si>
    <t xml:space="preserve">The country that this LandingEvent location is in. </t>
  </si>
  <si>
    <t>The date of the LandingEvent</t>
  </si>
  <si>
    <t>The time that this LandingEvent took place</t>
  </si>
  <si>
    <t xml:space="preserve">The area that this LandingEvent was caught in. </t>
  </si>
  <si>
    <t xml:space="preserve">The rectangle that this LandingEvent was caught in. </t>
  </si>
  <si>
    <t>The method of selecting Landing Events for sampling</t>
  </si>
  <si>
    <t>Foreign key/link to the LandingEvent table</t>
  </si>
  <si>
    <t>Foreign key/link to the FishingOperation table</t>
  </si>
  <si>
    <t>SpeciesSelectionID</t>
  </si>
  <si>
    <t>Fixed value ('SS')</t>
  </si>
  <si>
    <t>National name of the species list</t>
  </si>
  <si>
    <t>Fixed value ('SA')</t>
  </si>
  <si>
    <t>The Aphiaid code of the specie</t>
  </si>
  <si>
    <t>Presentation e.g. gutted, whole, headless etc.</t>
  </si>
  <si>
    <t>The intended usage at the time of landing.</t>
  </si>
  <si>
    <t>Commercial sorting scale code</t>
  </si>
  <si>
    <t>Commercial sorting category</t>
  </si>
  <si>
    <t>The type of sampling unit</t>
  </si>
  <si>
    <t>Whole weight in grammes.</t>
  </si>
  <si>
    <t>Whole weight in grammes of the sample.</t>
  </si>
  <si>
    <t>The number of units sampled in this stratum</t>
  </si>
  <si>
    <t>Total number of units in this stratum</t>
  </si>
  <si>
    <t>The method of selecting units for sampling</t>
  </si>
  <si>
    <t>The Lower Hierarchy that will be used for this Sample.  Mandatory if there is data linked directly to this sample/subsample, Optional is this sample only links to subsamples.</t>
  </si>
  <si>
    <t>The Lower Hierarchy that will be used for this Sample/Subsample</t>
  </si>
  <si>
    <t>Foreign key/link to the SpeciesSelection table</t>
  </si>
  <si>
    <t>SampID</t>
  </si>
  <si>
    <t>Area level 3 in the DCR.</t>
  </si>
  <si>
    <t>Foreign key/link to the Sample table</t>
  </si>
  <si>
    <t>Accuracy e.g. "cm"</t>
  </si>
  <si>
    <t>Fixed value ('BV')</t>
  </si>
  <si>
    <t>National numbering system of the individual fish.</t>
  </si>
  <si>
    <t>The stratum of this record, 'U' if unstratified</t>
  </si>
  <si>
    <t>The sampling design stratum for this record - typically length stratified or no stratification ('U')</t>
  </si>
  <si>
    <t>Method for measurement e.g. "scale" or "otholith"</t>
  </si>
  <si>
    <t>Total number of fish in this stratum</t>
  </si>
  <si>
    <t>Total number of fish in this stratum e.g. the total number of fish measured for length</t>
  </si>
  <si>
    <t>The number of fish measured for a particular biological variable in this stratum e.g. the total number of fish aged in this stratum.</t>
  </si>
  <si>
    <t>The method of selecting fish for measuring biological variables</t>
  </si>
  <si>
    <t>Method for measurement</t>
  </si>
  <si>
    <t>The number of fish measured in this stratum</t>
  </si>
  <si>
    <t>The method of selecting fish</t>
  </si>
  <si>
    <t>Type of measurment e.g. "Age"</t>
  </si>
  <si>
    <t>The method of selecting units of time for sampling</t>
  </si>
  <si>
    <t>The time unit e.g. "week", "month", "season"</t>
  </si>
  <si>
    <t>The time unit e.g. "week"</t>
  </si>
  <si>
    <t>Fixed value ('TE')</t>
  </si>
  <si>
    <t>Fixed value ('LO')</t>
  </si>
  <si>
    <t>Location (LO)</t>
  </si>
  <si>
    <t>Sample (SA)</t>
  </si>
  <si>
    <t>Biological Variable (BV)</t>
  </si>
  <si>
    <t>Species Selection (SS)</t>
  </si>
  <si>
    <t>Number of species from the list that are present in the strata*fraction</t>
  </si>
  <si>
    <t>The method of selecting species for sampling</t>
  </si>
  <si>
    <t>TemporalEventId</t>
  </si>
  <si>
    <t>VesselDetailsId</t>
  </si>
  <si>
    <t xml:space="preserve"> </t>
  </si>
  <si>
    <t>Start Sampling date</t>
  </si>
  <si>
    <t>Start Sampling time. If there is more that one sampling event during a day this field must be filled.</t>
  </si>
  <si>
    <t>Uk1,Uk2</t>
  </si>
  <si>
    <t>Uk2</t>
  </si>
  <si>
    <t>Uk1</t>
  </si>
  <si>
    <t>Required</t>
  </si>
  <si>
    <t>OnshoreEventsID</t>
  </si>
  <si>
    <t>Haul number</t>
  </si>
  <si>
    <t>The number of Landing Events sampled in this stratum/cluster (not necessarily unique Landing Events, the same Landing Event could be sampled multiple times). If 3 samples was made and one Landing Event  was selected twice, the number of Landing Events sampled is 3.</t>
  </si>
  <si>
    <t>Total number of unique Landing Event in the stratum/cluster. The total number of Landing Events at an e.g. Port in that stratum/cluster.</t>
  </si>
  <si>
    <t>Total number of unique onshore events in this stratum/cluster.</t>
  </si>
  <si>
    <t xml:space="preserve">The number of Onshore Event sampled in this stratum/cluster (Onshore Event will never sampled with replacement). </t>
  </si>
  <si>
    <t>Total number of unique fishing operation in the stratrum/cluster.</t>
  </si>
  <si>
    <t>Total number of unique trips in the stratum/cluster.</t>
  </si>
  <si>
    <t>Total number of unique vessels in this stratum/cluster.</t>
  </si>
  <si>
    <t>The number of times vessels was sampled in this stratum/cluster (not necessarily unique vessels, the same vessel could be sampled multiple times) . If 3 samples was made and one vessel was selected twice, the number of vessels sampled is 3.</t>
  </si>
  <si>
    <t>Total number of unique locations in this stratum/cluster.</t>
  </si>
  <si>
    <t>The number of times the locations was sampled in this stratum/cluster (not necessarily an unique location, the same location could be sampled multiple times) . If 3 samples was made and one location was selected twice, the number of locations sampled is 3.</t>
  </si>
  <si>
    <t>Total number of unique time units in this stratum/cluster.</t>
  </si>
  <si>
    <t>The number of time units sampled in this stratum/cluster (not necessarily unique time units, the same time unit could be sampled more than once) . If 3 samples was made and one time unit was selected twice, the number of time units sampled is 3.</t>
  </si>
  <si>
    <t>FishingTripID</t>
  </si>
  <si>
    <t>Registers what components of catch are expected in the species selection table options: All – either Catch or Lan+Dis rows expected next table);  Lan – only landings expected in next table; Dis – only discard expected in next table; None – no next table.</t>
  </si>
  <si>
    <t>FrequencyMeasureID</t>
  </si>
  <si>
    <t>Frequency Measure (FM)</t>
  </si>
  <si>
    <t>Number at unit (not raised to whole catch)</t>
  </si>
  <si>
    <t>Accuracy code</t>
  </si>
  <si>
    <t>Accuracy. For information this is the orginal national unit for the length class. Class: 1mm="mm", 0.5cm="scm"; 1cm="cm"; 2.5cm=25mm", 5cm="5cm", 1 g, 100 g, 0,5 kg, 1 kg.</t>
  </si>
  <si>
    <t>Fixed value ('FM')</t>
  </si>
  <si>
    <t xml:space="preserve">Yes or No. "Yes", if you clearly idetified the hierarchy and estimates can be made following the design. "No", if the hierarchy was difficult to determine. </t>
  </si>
  <si>
    <t>FTarrivalDate</t>
  </si>
  <si>
    <t>FTrecordType</t>
  </si>
  <si>
    <t>FTrecType</t>
  </si>
  <si>
    <t>OSid</t>
  </si>
  <si>
    <t>VDid</t>
  </si>
  <si>
    <t>Reason for not sampling</t>
  </si>
  <si>
    <t>Sampler</t>
  </si>
  <si>
    <t>Stratification</t>
  </si>
  <si>
    <t>Y/N</t>
  </si>
  <si>
    <t>Indicator of presence (Y) or absence (N) of stratification of units of that sampling level</t>
  </si>
  <si>
    <t>Indicator of presence (Y) or absence (N) of stratification of units in that level of the sampling hierarchy</t>
  </si>
  <si>
    <t>Clustering</t>
  </si>
  <si>
    <t>Indicator of absence ("No") or presence of one-stage cluster sampling ("1-stage")or two-stage cluster sampling ("2-stage") of units of that sampling level</t>
  </si>
  <si>
    <t>Indicator existence and type of cluster sampling of units in that level of the sampling hierarchy</t>
  </si>
  <si>
    <t>Name or code of the cluster selected for sampling (cluster i)</t>
  </si>
  <si>
    <t>Name or code of the cluster selected for sampling</t>
  </si>
  <si>
    <t>Total number of clusters in that level of the sampling hierarchy / stratum. Used in 1-stage and 2-stage cluster sampling. When stratified it is the total number of clusters in each stratum</t>
  </si>
  <si>
    <t>Total number of clusters in that level of the sampling hierarchy</t>
  </si>
  <si>
    <t>Number of clusters sampled. Used in 1-stage and 2-stage cluster sampling. When stratified it is number of clusters sampled in each stratum.</t>
  </si>
  <si>
    <t>Total number of clusters sampled</t>
  </si>
  <si>
    <t xml:space="preserve">The inclusion probability of the cluster. </t>
  </si>
  <si>
    <t>Reason for not sampling freq</t>
  </si>
  <si>
    <t>Reason for not sampling biovar</t>
  </si>
  <si>
    <t>VesselSelectionId</t>
  </si>
  <si>
    <t>Fixed value ('VS')</t>
  </si>
  <si>
    <t>FTid</t>
  </si>
  <si>
    <t>VSid</t>
  </si>
  <si>
    <t xml:space="preserve">VesselSelectionID </t>
  </si>
  <si>
    <t>FTstratification</t>
  </si>
  <si>
    <t>FTclustering</t>
  </si>
  <si>
    <t>FTclusterName</t>
  </si>
  <si>
    <t>FTsampler</t>
  </si>
  <si>
    <t>FTdepartureLocation</t>
  </si>
  <si>
    <t>FTdepartureTime</t>
  </si>
  <si>
    <t>FTarrivalLocation</t>
  </si>
  <si>
    <t>FTarrivalTime</t>
  </si>
  <si>
    <t>FTselectionMethod</t>
  </si>
  <si>
    <t>FTselectionMethodCluster</t>
  </si>
  <si>
    <t>FTreasonNotSampled</t>
  </si>
  <si>
    <t>FTselectMeth</t>
  </si>
  <si>
    <t>FTfoNum</t>
  </si>
  <si>
    <t>FTdepLoc</t>
  </si>
  <si>
    <t>FTdepDate</t>
  </si>
  <si>
    <t>FTdepTime</t>
  </si>
  <si>
    <t>FTarvLoc</t>
  </si>
  <si>
    <t>FTarvDate</t>
  </si>
  <si>
    <t>FTarvTime</t>
  </si>
  <si>
    <t>FTnoSampReason</t>
  </si>
  <si>
    <t>FTselectMethCluster</t>
  </si>
  <si>
    <t>R Name</t>
  </si>
  <si>
    <t>DErecordType</t>
  </si>
  <si>
    <t>DEsamplingScheme</t>
  </si>
  <si>
    <t>DEhierarchyCorrect</t>
  </si>
  <si>
    <t>DEhierarchy</t>
  </si>
  <si>
    <t>DEid</t>
  </si>
  <si>
    <t>DErecType</t>
  </si>
  <si>
    <t>DEsampScheme</t>
  </si>
  <si>
    <t>DEyear</t>
  </si>
  <si>
    <t>DEhierarchyCor</t>
  </si>
  <si>
    <t>SDid</t>
  </si>
  <si>
    <t>TEid</t>
  </si>
  <si>
    <t>TErecordType</t>
  </si>
  <si>
    <t>TErecType</t>
  </si>
  <si>
    <t>TEstratification</t>
  </si>
  <si>
    <t>TEtimeUnit</t>
  </si>
  <si>
    <t>TEclustering</t>
  </si>
  <si>
    <t>TEclusterName</t>
  </si>
  <si>
    <t>TEsampler</t>
  </si>
  <si>
    <t>TEselectionMethod</t>
  </si>
  <si>
    <t>TEselectMeth</t>
  </si>
  <si>
    <t>TEselectionMethodCluster</t>
  </si>
  <si>
    <t>TEselectMethCluster</t>
  </si>
  <si>
    <t>TEreasonNotSampled</t>
  </si>
  <si>
    <t>TEnoSampReason</t>
  </si>
  <si>
    <t>LOselectionMethodCluster</t>
  </si>
  <si>
    <t>LOselectMethCluster</t>
  </si>
  <si>
    <t>LOreasonNotSampled</t>
  </si>
  <si>
    <t>LOnoSampReason</t>
  </si>
  <si>
    <t>VSselectionMethodCluster</t>
  </si>
  <si>
    <t>VSselectMethCluster</t>
  </si>
  <si>
    <t>VSreasonNotSampled</t>
  </si>
  <si>
    <t>VSnoSampReason</t>
  </si>
  <si>
    <t>FOselectionMethodCluster</t>
  </si>
  <si>
    <t>FOreasonNotSampled</t>
  </si>
  <si>
    <t>FOselectMethCluster</t>
  </si>
  <si>
    <t>FOnoSampReason</t>
  </si>
  <si>
    <t>OSselectionMethodCluster</t>
  </si>
  <si>
    <t>OSreasonNotSampled</t>
  </si>
  <si>
    <t>OSselectMethCluster</t>
  </si>
  <si>
    <t>OSnoSampReason</t>
  </si>
  <si>
    <t>Onshore Event (OS)</t>
  </si>
  <si>
    <t>LEselectionMethodCluster</t>
  </si>
  <si>
    <t>LEreasonNotSampled</t>
  </si>
  <si>
    <t>LEselectMethCluster</t>
  </si>
  <si>
    <t>LEnoSampReason</t>
  </si>
  <si>
    <t>SSselectionMethodCluster</t>
  </si>
  <si>
    <t>SSreasonNotSampled</t>
  </si>
  <si>
    <t>SSselectMethCluster</t>
  </si>
  <si>
    <t>SSnoSampReason</t>
  </si>
  <si>
    <t>LOclustering</t>
  </si>
  <si>
    <t>LOclusterName</t>
  </si>
  <si>
    <t>LOsampler</t>
  </si>
  <si>
    <t>VSclustering</t>
  </si>
  <si>
    <t>VSclusterName</t>
  </si>
  <si>
    <t>VSsampler</t>
  </si>
  <si>
    <t>FOclustering</t>
  </si>
  <si>
    <t>FOclusterName</t>
  </si>
  <si>
    <t>FOsampler</t>
  </si>
  <si>
    <t>OSclustering</t>
  </si>
  <si>
    <t>OSclusterName</t>
  </si>
  <si>
    <t>OSsampler</t>
  </si>
  <si>
    <t>LEclustering</t>
  </si>
  <si>
    <t>LEclusterName</t>
  </si>
  <si>
    <t>LEsampler</t>
  </si>
  <si>
    <t>SSclustering</t>
  </si>
  <si>
    <t>SSclusterName</t>
  </si>
  <si>
    <t>SSsampler</t>
  </si>
  <si>
    <t>LOrecordType</t>
  </si>
  <si>
    <t>LOrecType</t>
  </si>
  <si>
    <t>LOstratification</t>
  </si>
  <si>
    <t>SDrecordType</t>
  </si>
  <si>
    <t>SDrecType</t>
  </si>
  <si>
    <t>VSrecordType</t>
  </si>
  <si>
    <t>VSstratification</t>
  </si>
  <si>
    <t>VSrecType</t>
  </si>
  <si>
    <t>FOrecordType</t>
  </si>
  <si>
    <t>FOstratification</t>
  </si>
  <si>
    <t>FOrecType</t>
  </si>
  <si>
    <t>OSrecordType</t>
  </si>
  <si>
    <t>OSrecType</t>
  </si>
  <si>
    <t>OSstratification</t>
  </si>
  <si>
    <t>LErecordType</t>
  </si>
  <si>
    <t>LEstratification</t>
  </si>
  <si>
    <t>LErecType</t>
  </si>
  <si>
    <t>SSrecordType</t>
  </si>
  <si>
    <t>SSstratification</t>
  </si>
  <si>
    <t>SSrecType</t>
  </si>
  <si>
    <t>SArecordType</t>
  </si>
  <si>
    <t>SArecType</t>
  </si>
  <si>
    <t>FMrecordType</t>
  </si>
  <si>
    <t>FMrecType</t>
  </si>
  <si>
    <t>BVrecordType</t>
  </si>
  <si>
    <t>BVrecType</t>
  </si>
  <si>
    <t>LOid</t>
  </si>
  <si>
    <t>SAid</t>
  </si>
  <si>
    <t>FOid</t>
  </si>
  <si>
    <t>LEid</t>
  </si>
  <si>
    <t>Foreign key/link to the VesselSelection table</t>
  </si>
  <si>
    <t>SSid</t>
  </si>
  <si>
    <t>FMid</t>
  </si>
  <si>
    <t>BVid</t>
  </si>
  <si>
    <t>Foreign key/link to the Frequency Measure table</t>
  </si>
  <si>
    <t>LOselectionMethod</t>
  </si>
  <si>
    <t>LOselectMeth</t>
  </si>
  <si>
    <t>VSsampled</t>
  </si>
  <si>
    <t>VSselectionMethod</t>
  </si>
  <si>
    <t>VSselectMeth</t>
  </si>
  <si>
    <t>FOselectionMethod</t>
  </si>
  <si>
    <t>FOselectMeth</t>
  </si>
  <si>
    <t>OSselectionMethod</t>
  </si>
  <si>
    <t>OSselectMeth</t>
  </si>
  <si>
    <t>LEselectionMethod</t>
  </si>
  <si>
    <t>LEselectMeth</t>
  </si>
  <si>
    <t>SSselectionMethod</t>
  </si>
  <si>
    <t>SSselectMeth</t>
  </si>
  <si>
    <t>SAselectionMethod</t>
  </si>
  <si>
    <t>SAselectMeth</t>
  </si>
  <si>
    <t>BVselectionMethod</t>
  </si>
  <si>
    <t>BVselectMeth</t>
  </si>
  <si>
    <t>Stratum</t>
  </si>
  <si>
    <t>Sample stratum</t>
  </si>
  <si>
    <t>SDcountry</t>
  </si>
  <si>
    <t>SDinstitution</t>
  </si>
  <si>
    <t>SDinst</t>
  </si>
  <si>
    <t>SDctry</t>
  </si>
  <si>
    <t>National Name of location</t>
  </si>
  <si>
    <t>OSsamplingTime</t>
  </si>
  <si>
    <t>OSsamTime</t>
  </si>
  <si>
    <t>OSsamplingDate</t>
  </si>
  <si>
    <t>OSsamDate</t>
  </si>
  <si>
    <t>OStimeValue</t>
  </si>
  <si>
    <t>OStimeUnit</t>
  </si>
  <si>
    <t>OSlocationType</t>
  </si>
  <si>
    <t>OSlocType</t>
  </si>
  <si>
    <t>FMnumberAtUnit</t>
  </si>
  <si>
    <t>FMnumAtUnit</t>
  </si>
  <si>
    <t>FMaccuracy</t>
  </si>
  <si>
    <t>FMsampler</t>
  </si>
  <si>
    <t>BVsampler</t>
  </si>
  <si>
    <t xml:space="preserve">Measured value of the Biological variable. </t>
  </si>
  <si>
    <t xml:space="preserve">The measurement type of the class. </t>
  </si>
  <si>
    <t>Registers how the catch is sampled by observers. This is really a strata so e.g., ”catch” and ”lan” cannot be provided for the same haul.  Population is given by catchReg in upper table</t>
  </si>
  <si>
    <t>FOaggregationLevel</t>
  </si>
  <si>
    <t>FOaggLev</t>
  </si>
  <si>
    <t>FOvalidity</t>
  </si>
  <si>
    <t>FOval</t>
  </si>
  <si>
    <t>FOcatchReg</t>
  </si>
  <si>
    <t>FOcatReg</t>
  </si>
  <si>
    <t>FOstartDate</t>
  </si>
  <si>
    <t>FOstartTime</t>
  </si>
  <si>
    <t>FOendDate</t>
  </si>
  <si>
    <t>FOendTime</t>
  </si>
  <si>
    <t>FOduration</t>
  </si>
  <si>
    <t>FOdur</t>
  </si>
  <si>
    <t>FOstartLat</t>
  </si>
  <si>
    <t>FOstartLon</t>
  </si>
  <si>
    <t>FOstopLat</t>
  </si>
  <si>
    <t>FOstopLon</t>
  </si>
  <si>
    <t>Shooting (start) position latitude.</t>
  </si>
  <si>
    <t>Shooting (start) position longitude.</t>
  </si>
  <si>
    <t>Hauling (stop) position latitude.</t>
  </si>
  <si>
    <t>Hauling (stop) position longitude.</t>
  </si>
  <si>
    <t>FOarea</t>
  </si>
  <si>
    <t>FOrectangle</t>
  </si>
  <si>
    <t>FOstatRect</t>
  </si>
  <si>
    <t>FOfishingDepth</t>
  </si>
  <si>
    <t>FOdep</t>
  </si>
  <si>
    <t>FOwaterDepth</t>
  </si>
  <si>
    <t>FOwaterDep</t>
  </si>
  <si>
    <t>FOmetier5</t>
  </si>
  <si>
    <t>FOmetier6</t>
  </si>
  <si>
    <t>FOgear</t>
  </si>
  <si>
    <t>FOmeshSize</t>
  </si>
  <si>
    <t>FOselectionDevice</t>
  </si>
  <si>
    <t>FOselDev</t>
  </si>
  <si>
    <t>FOselectionDeviceMeshSize</t>
  </si>
  <si>
    <t>FOselDevMeshSize</t>
  </si>
  <si>
    <t>FOtargetSpecies</t>
  </si>
  <si>
    <t>FOtarget</t>
  </si>
  <si>
    <t>Registers what components of catch are expected in the species selection table options</t>
  </si>
  <si>
    <t>LEmixedTrip</t>
  </si>
  <si>
    <t>LEcatchReg</t>
  </si>
  <si>
    <t>LEcatReg</t>
  </si>
  <si>
    <t>LEdate</t>
  </si>
  <si>
    <t>LEtime</t>
  </si>
  <si>
    <t>LEarea</t>
  </si>
  <si>
    <t>LErectangle</t>
  </si>
  <si>
    <t>LEgear</t>
  </si>
  <si>
    <t>LEmeshSize</t>
  </si>
  <si>
    <t>LEselectionDevice</t>
  </si>
  <si>
    <t>LEselectionDeviceMeshSize</t>
  </si>
  <si>
    <t>LEtargetSpecies</t>
  </si>
  <si>
    <t>LEstatRect</t>
  </si>
  <si>
    <t>LEselDev</t>
  </si>
  <si>
    <t>LEselDevMeshSize</t>
  </si>
  <si>
    <t>LEtarget</t>
  </si>
  <si>
    <t>LEhaulNumber</t>
  </si>
  <si>
    <t>LEhaulNum</t>
  </si>
  <si>
    <t>LEsequenceNumber</t>
  </si>
  <si>
    <t>LEseqNum</t>
  </si>
  <si>
    <t>LEcountry</t>
  </si>
  <si>
    <t>LEctry</t>
  </si>
  <si>
    <t>LElocationType</t>
  </si>
  <si>
    <t>LElocType</t>
  </si>
  <si>
    <t>SAspeciesCode</t>
  </si>
  <si>
    <t>SApresentation</t>
  </si>
  <si>
    <t>SApres</t>
  </si>
  <si>
    <t>SAsex</t>
  </si>
  <si>
    <t>SAunitType</t>
  </si>
  <si>
    <t>SAreasonNotSampledFM</t>
  </si>
  <si>
    <t>SAreasonNotSampledBV</t>
  </si>
  <si>
    <t>SAnoSampReasonFM</t>
  </si>
  <si>
    <t>SAnoSampReasonBV</t>
  </si>
  <si>
    <t>SAsampler</t>
  </si>
  <si>
    <t>SAlowerHierarchy</t>
  </si>
  <si>
    <t>SAlowHierarchy</t>
  </si>
  <si>
    <t>SAlandingCategory</t>
  </si>
  <si>
    <t>SAlandCat</t>
  </si>
  <si>
    <t>SAcommSizeCatScale</t>
  </si>
  <si>
    <t>SAcommCatScl</t>
  </si>
  <si>
    <t>SAcommSizeCat</t>
  </si>
  <si>
    <t>SAcommCat</t>
  </si>
  <si>
    <t>Was the hierarchy clearly identified?</t>
  </si>
  <si>
    <t>The method of selecting clusters</t>
  </si>
  <si>
    <t>SLid</t>
  </si>
  <si>
    <t>Species List Details (SL)</t>
  </si>
  <si>
    <t>String(100)</t>
  </si>
  <si>
    <t>Sampling frame stratum.</t>
  </si>
  <si>
    <t>Vessel Selection (VS)</t>
  </si>
  <si>
    <t>Temporal Event (TE)</t>
  </si>
  <si>
    <t>Vessel Details (VD)</t>
  </si>
  <si>
    <t>SAtotalWeightMeasured</t>
  </si>
  <si>
    <t>SAsampleWeightMeasured</t>
  </si>
  <si>
    <t>SAsampWtMes</t>
  </si>
  <si>
    <t>SAtotalWtMes</t>
  </si>
  <si>
    <t>Conversion factor between measured weight and live weight.</t>
  </si>
  <si>
    <t>SAsampleWeightLive</t>
  </si>
  <si>
    <t>SAtotalWeightLive</t>
  </si>
  <si>
    <t>SAtotalWtLive</t>
  </si>
  <si>
    <t>SAsampWtLive</t>
  </si>
  <si>
    <t>Sample of full trip available</t>
  </si>
  <si>
    <t>LEfullTripAvailable</t>
  </si>
  <si>
    <t>LEfullTripAva</t>
  </si>
  <si>
    <t>To be able to select sample data which represent a full trip.</t>
  </si>
  <si>
    <t>Yes, No, unknown</t>
  </si>
  <si>
    <t>Name or code of the cluster selected for sampling (cluster i)  ('U' for unclustered)</t>
  </si>
  <si>
    <t>Name or code of the cluster selected for sampling (cluster i) ('U' for unclustered)</t>
  </si>
  <si>
    <t>SAcatchCategory</t>
  </si>
  <si>
    <t>SAcatchCat</t>
  </si>
  <si>
    <t>SAstratification</t>
  </si>
  <si>
    <t>BVstratification</t>
  </si>
  <si>
    <t>The length in mm or weight in g with no decimal.</t>
  </si>
  <si>
    <t>SampleID</t>
  </si>
  <si>
    <t>Number of individual measured within the specified length/weight class. Length/weight classes with zero individuals should be excluded from the record.</t>
  </si>
  <si>
    <t>Number of individuals.</t>
  </si>
  <si>
    <t>Measurement equipment</t>
  </si>
  <si>
    <t>Measurement equipment e.g. "image processing" or "measured by hand with caliper", "handheld spring balances", "digital motion compensated scales"</t>
  </si>
  <si>
    <t xml:space="preserve"> "image processing" or "measured by hand with caliper", "handheld spring balances", "digital motion compensated scales"</t>
  </si>
  <si>
    <t>SAspecState</t>
  </si>
  <si>
    <t>SAspecimensState</t>
  </si>
  <si>
    <t xml:space="preserve">State of the specimens (e.g., dead, damaged, etc). </t>
  </si>
  <si>
    <t>The method of selecting fishing trips for sampling</t>
  </si>
  <si>
    <t>vol = volume, vis = visual.</t>
  </si>
  <si>
    <t>SSobsActTyp</t>
  </si>
  <si>
    <t>SSobsTyp</t>
  </si>
  <si>
    <t>FOobservationCode</t>
  </si>
  <si>
    <t>FOobsCo</t>
  </si>
  <si>
    <t>Foreign key/link to Sample table. (for hierarchy 9)</t>
  </si>
  <si>
    <t>Foreign key/link to the Fishing Operation table</t>
  </si>
  <si>
    <t>Foreign key/link to the Temporal Event table</t>
  </si>
  <si>
    <t>Foreign key/link to the Location table</t>
  </si>
  <si>
    <t>Foreign key/link to the Vessel Selection table</t>
  </si>
  <si>
    <t>VesselSelectionID</t>
  </si>
  <si>
    <t>SpeciesListNameID</t>
  </si>
  <si>
    <t>Foreign key/link to a new SpeciesListName table</t>
  </si>
  <si>
    <t>Encrypted by the national institute before it is upload. This code it refering to the Encrypted Vessel Identifier field in the Vessel Details.</t>
  </si>
  <si>
    <t>National name of the species list (as in species List Name reference table)</t>
  </si>
  <si>
    <t>Table code list</t>
  </si>
  <si>
    <t>VSencryptedVesselCode</t>
  </si>
  <si>
    <t>VSencrVessCode</t>
  </si>
  <si>
    <t>The FAO species code</t>
  </si>
  <si>
    <t>SAspeCode</t>
  </si>
  <si>
    <t>The Aphiaid code of the species given by www.marinespecies.org (127160 for Solea solea). In the case of mixed species this may be the commercial taxon.</t>
  </si>
  <si>
    <t>Mandatory for the field 'Sampling type' = 'at-sea' sampling, optional for other 'onshore' sampling. “YYYY-MM-DD” (ISO 8601). The date of departure of the trip</t>
  </si>
  <si>
    <t>FTdepartureDate</t>
  </si>
  <si>
    <t>Sampling type</t>
  </si>
  <si>
    <t>FTsamplingType</t>
  </si>
  <si>
    <t>FTsampType</t>
  </si>
  <si>
    <t>Indicating if the data can be used for calculating zeros 'Yes' or 'No'. E.g. used by Denmark when sampling targeting specific stocks.</t>
  </si>
  <si>
    <t>SSuseCalcZero</t>
  </si>
  <si>
    <t>SSuseForCalculateZero</t>
  </si>
  <si>
    <t>Sampling scheme type</t>
  </si>
  <si>
    <t>DEsamplingSchemeType</t>
  </si>
  <si>
    <t>DEsampSchemeType</t>
  </si>
  <si>
    <t>Gear dimensions</t>
  </si>
  <si>
    <t>FOgearDimensions</t>
  </si>
  <si>
    <t>FOgearDim</t>
  </si>
  <si>
    <t>The sum total length of nets or number of hooks or pots. Do not fill-in for active gears.</t>
  </si>
  <si>
    <t>TEunitName</t>
  </si>
  <si>
    <t>The unique name of this unit.</t>
  </si>
  <si>
    <t>Sampling unit name</t>
  </si>
  <si>
    <t>LOunitName</t>
  </si>
  <si>
    <t>VSunitName</t>
  </si>
  <si>
    <t>FTunitName</t>
  </si>
  <si>
    <t>FOunitName</t>
  </si>
  <si>
    <t>OSunitName</t>
  </si>
  <si>
    <t>LEunitName</t>
  </si>
  <si>
    <t>SSunitName</t>
  </si>
  <si>
    <t>SAunitName</t>
  </si>
  <si>
    <t>BVunitName</t>
  </si>
  <si>
    <t>Country specific national fishing gear</t>
  </si>
  <si>
    <t>Fishing gear metier level 5. Level 5 as defined in a fishing gear hierarchic structure in the Data Collection Regulation (EC, 2008a, 2008b).</t>
  </si>
  <si>
    <t>Fishing gear metier level 6. Level 6 as defined in a fishing gear hierarchic structure in the Data Collection Regulation (EC, 2008a, 2008b). Level 6 is further specified by the Regional Coordination Meetings (EC RCMs, Council Regulation [EC] No 1543/2000) or any later authorized revision.</t>
  </si>
  <si>
    <t>Self-sampling, Observer, Control, Electronic Monitoring (EM). In the future potential combinations of e.g. observer and EM</t>
  </si>
  <si>
    <t>National fishing activity</t>
  </si>
  <si>
    <t>FOnationalFishingActivity</t>
  </si>
  <si>
    <t>FOnatFishAct</t>
  </si>
  <si>
    <t>Country specific national fishing activity</t>
  </si>
  <si>
    <t xml:space="preserve">Metier level 5 fishing activity </t>
  </si>
  <si>
    <t xml:space="preserve"> Metier level 6 fishing activity</t>
  </si>
  <si>
    <t>Foreign key/link to the Temporal Event table. (for hierarchy 12)</t>
  </si>
  <si>
    <t xml:space="preserve">Additional grouped measurement </t>
  </si>
  <si>
    <t>Additional grouped measurement type</t>
  </si>
  <si>
    <t>Selection probability</t>
  </si>
  <si>
    <t>Inclusion probability for location</t>
  </si>
  <si>
    <t xml:space="preserve">O </t>
  </si>
  <si>
    <t>OSlocode</t>
  </si>
  <si>
    <t>Recommended to use national code for market, processer etc. Use to distinguish e.g. between a market and a port sampling at the same LOCODE.</t>
  </si>
  <si>
    <t>This will often be a harbour. Recommended to use national code for market, processer etc. Use to distinguish e.g. between a market and a port sampling at the same LOCODE.</t>
  </si>
  <si>
    <t>This will often be a harbour. LOCODE of sampling location.  If sampling at a market this could be the LOCODE of the town the market is based in.</t>
  </si>
  <si>
    <t>code list</t>
  </si>
  <si>
    <t>Automatic ID - PK of table. Internal to RDBES. Not to be filled in by users.</t>
  </si>
  <si>
    <t>Foreign key/link to the FishingTrip table. Internal to RDBES. Not to be filled in by users.</t>
  </si>
  <si>
    <t>Foreign key/link to the Sampling Details table. Internal to RDBES. Not to be filled in by users.</t>
  </si>
  <si>
    <t>Mandatory if it FishingTrip is in the hierarchy, otherwise it is optional. Foreign key/link to the FishingTrip table. Internal to RDBES. Not to be filled in by users.</t>
  </si>
  <si>
    <t>LEnationalFishingActivity</t>
  </si>
  <si>
    <t>LEmetier5</t>
  </si>
  <si>
    <t>LEmetier6</t>
  </si>
  <si>
    <t>LEgearDimensions</t>
  </si>
  <si>
    <t>LEmitiDev</t>
  </si>
  <si>
    <t>LEgearDim</t>
  </si>
  <si>
    <t>LEnatFishAct</t>
  </si>
  <si>
    <t>Sequence number</t>
  </si>
  <si>
    <t>Sequence number (added 26/3)</t>
  </si>
  <si>
    <t>The unique name of this unit. This could be the national fishing trip code.</t>
  </si>
  <si>
    <t>The unique name of this unit. Would typically be the haul number.</t>
  </si>
  <si>
    <t>Uk1, Uk2</t>
  </si>
  <si>
    <t>OSsequenceNumber</t>
  </si>
  <si>
    <t>OSseqNum</t>
  </si>
  <si>
    <t>FOsequenceNumber</t>
  </si>
  <si>
    <t>FOseqNum</t>
  </si>
  <si>
    <t>FTsequenceNumber</t>
  </si>
  <si>
    <t>FTseqNum</t>
  </si>
  <si>
    <t>TEsequenceNumber</t>
  </si>
  <si>
    <t>TEseqNum</t>
  </si>
  <si>
    <t>Sequential numbering by Temporal event. The sequence number identify the selections made. Preperably representing the order of the selections.</t>
  </si>
  <si>
    <t>LOsequenceNumber</t>
  </si>
  <si>
    <t>LOseqNum</t>
  </si>
  <si>
    <t>Sequential numbering by Location. The sequence number identify the selections made with in each strata and cluster combination. Preperably representing the order of the selections.</t>
  </si>
  <si>
    <t>Sequential numbering by Temporal event. The sequence number identify the selections made with in each strata and cluster combination. Preperably representing the order of the selections.</t>
  </si>
  <si>
    <t>Sequential numbering by landing event. The sequence number identify the selections made with in each strata and cluster combination. Preperably representing the order of the selections.</t>
  </si>
  <si>
    <t>Sequential numbering by trip. Typically the haul number. The sequence number identify the selections made with in each strata and cluster combination. Preperably representing the order of the selections.</t>
  </si>
  <si>
    <t>Sequential numbering by Onshore event. The sequence number identify the selections made with in each strata and cluster combination. Preperably representing the order of the selections.</t>
  </si>
  <si>
    <t>The unique name of this unit. Indicate a sampling unit may appear more than once. Can be national identfier for the location unit e.g. "harbour1", etc.</t>
  </si>
  <si>
    <t>SSsequenceNumber</t>
  </si>
  <si>
    <t>SSseqNum</t>
  </si>
  <si>
    <t>Sequential numbering by species selection. The sequence number identify the selections made with in each strata and cluster combination. Preperably representing the order of the selections.</t>
  </si>
  <si>
    <t>Sequential numbering by sample. The sequence number identify the selections made with in each strata and cluster combination. Preperably representing the order of the selections.</t>
  </si>
  <si>
    <t>The name of this unit. Could typically use national sample code, e.g. "431385"</t>
  </si>
  <si>
    <t>SAsequenceNumber</t>
  </si>
  <si>
    <t>SAseqNum</t>
  </si>
  <si>
    <t>SAparentSequenceNumber</t>
  </si>
  <si>
    <t>SAparSequNum</t>
  </si>
  <si>
    <t>The ParentSequenceNumber refer to the sequence number of the sample from which the current sample is a subsample of.</t>
  </si>
  <si>
    <t>ParentSequenceNumber is the parent record's SequenceNumber, from which the current subsample  is taken.</t>
  </si>
  <si>
    <t>Sequential numbering by fishing trip. The sequence number identify the selections made. Preperably representing the order of the selections.</t>
  </si>
  <si>
    <t>VSsequenceNumber</t>
  </si>
  <si>
    <t>VSseqNum</t>
  </si>
  <si>
    <t>Sequential numbering by vessel selection. The sequence number identify the selections made. Preperably representing the order of the selections.</t>
  </si>
  <si>
    <t>The unique name of this unit.  Indicate a sampling unit may appear more than once. Can be national identfier for the vessel, frequently similary to the encrypted vessel identifyer. Do not use the real name of  vessel or anything that can identify the vessel. e.g. "Vessel1", etc.</t>
  </si>
  <si>
    <t>Conversion factor (multiplicative constant) between measured weight and live weight. Generally between 0 and 10, frequently from official tables and standards.</t>
  </si>
  <si>
    <t>The type of sampling unit. This would define the sampling unit and could be for example a box of fish, number (of fish), a section of net, a basket of mixed discards or individual units (e.g., individual fish randomly sampled throughout the catch).</t>
  </si>
  <si>
    <t>Parts of the catch sampled. This registers what components of catch are expected in the species selection table options: All –  Catch/Lan+Dis rows expected next table;  Lan – only landings expected in next table; Dis – only discard expected in next table; None – no next table. This field is for calculating zero for discards/landings and distuinguish between sampling protocols between hauls.</t>
  </si>
  <si>
    <t>SScatchFraction</t>
  </si>
  <si>
    <t>SScatchFra</t>
  </si>
  <si>
    <t>Reason for not sampling freq (different from SAreasonNotSampledBV)</t>
  </si>
  <si>
    <t>Reason for not sampling biovar (different from SAreasonNotSampledFM)</t>
  </si>
  <si>
    <t>Sampled</t>
  </si>
  <si>
    <t>VSsamp</t>
  </si>
  <si>
    <t>VSnumberTotal</t>
  </si>
  <si>
    <t>VSnumSamp</t>
  </si>
  <si>
    <t>VSnumTotal</t>
  </si>
  <si>
    <t>VSnumberSampled</t>
  </si>
  <si>
    <t>Indicating if the unit was sampled: Yes/No. If No no child records are expected.</t>
  </si>
  <si>
    <t>Catch' = catch, 'Dis' = discard, 'Lan' = landing, 'BMS' = Below Minimum reference Size</t>
  </si>
  <si>
    <t>Lan': Landings categorised as above minimum reference size
'BMS': landings categorised as below minimum reference size
'Catch': catch which is not determined if it is landing or discard so it include potentially both
'Dis': discard released to the sea</t>
  </si>
  <si>
    <t>Cluster selection probability</t>
  </si>
  <si>
    <t>Clusters inclusion probability</t>
  </si>
  <si>
    <t>SAarea</t>
  </si>
  <si>
    <t>SArectangle</t>
  </si>
  <si>
    <t>SAstatRect</t>
  </si>
  <si>
    <t>SAgear</t>
  </si>
  <si>
    <t>SAmeshSize</t>
  </si>
  <si>
    <t>SAselectionDevice</t>
  </si>
  <si>
    <t>SAselDev</t>
  </si>
  <si>
    <t>SAselectionDeviceMeshSize</t>
  </si>
  <si>
    <t>SAselDevMeshSize</t>
  </si>
  <si>
    <t>SAnationalFishingActivity</t>
  </si>
  <si>
    <t>SAnatFishAct</t>
  </si>
  <si>
    <t>SAmetier5</t>
  </si>
  <si>
    <t>SAmetier6</t>
  </si>
  <si>
    <t xml:space="preserve">Area level 3 (level 4 for Baltic, Mediterranean, and Black Seas) in the Data Collection Regulation (EC, 2008a, 2008b). If know, it is possible to declare a detailed, and more than one per sample, compared to the dominant information given in the Landing Event table. </t>
  </si>
  <si>
    <t xml:space="preserve">Fishing activity metier level 5. Level 5 as defined in a fishing activity hierarchic structure in the Data Collection Regulation (EC, 2008a, 2008b).  If know, it is possible to declare a detailed, and more than one per sample, compared to the dominant information given in the Landing Event table.  </t>
  </si>
  <si>
    <t>Fishing activity metier level 6. Level 6 as defined in a fishing activity hierarchic structure in the Data Collection Regulation (EC, 2008a, 2008b). Level 6 is further specified by the Regional Coordination Meetings (EC RCMs, Council Regulation [EC] No 1543/2000) or any later authorized.  If know, it is possible to declare a detailed, and more than one per sample, compared to the dominant information given in the Landing Event table.  revision.  
Further discussion needed for Norwegian data.</t>
  </si>
  <si>
    <t xml:space="preserve">FAO gear code. If the gear is not known use MIS.  If know, it is possible to declare a detailed, and more than one per sample, compared to the dominant information given in the Landing Event table.  </t>
  </si>
  <si>
    <t xml:space="preserve">Not needed for gears without meshes e.g. LLD,  LLS,  LHM,  LHP,  LL,  FPO.  For other gears the mesh size should be completed where it is known. (This mesh size field is different from the one in Fishing Operation, which is mandatory).  If know, it is possible to declare a detailed, and more than one per sample, compared to the dominant information given in the Landing Event table.  </t>
  </si>
  <si>
    <t>SamplingDetailsId</t>
  </si>
  <si>
    <t>Foreign key/link to the Sampling Details table. Use Fishing operation is primary sampling unit. Internal to RDBES. Not to be filled in by users.</t>
  </si>
  <si>
    <t>Automatic ID - PK of table.  Internal to RDBES. Not to be filled in by users.</t>
  </si>
  <si>
    <t>Foreign key/link to the Sampling Details table.  Internal to RDBES. Not to be filled in by users.</t>
  </si>
  <si>
    <t>Foreign key/link to the Location table. Internal to RDBES. Not to be filled in by users.</t>
  </si>
  <si>
    <t>Foreign key/link to the Vessel Selection table.  Internal to RDBES. Not to be filled in by users.</t>
  </si>
  <si>
    <t>Foreign key/link to the Design table. Internal to RDBES. Not to be filled in by users.</t>
  </si>
  <si>
    <t>Foreign key/link to theVesselDetails table. Internal to RDBES. Not to be filled in by users.</t>
  </si>
  <si>
    <t>Mandatory if it TemporalEvent is in the hierarchy, otherwise it is optional. Foreign key/link to the TemporalEvent table. Internal to RDBES. Not to be filled in by users.</t>
  </si>
  <si>
    <t>Mandatory if it OnshoreEvent is in the hierarchy, otherwise it is optional. Internal to RDBES. Not to be filled in by users.</t>
  </si>
  <si>
    <t>Mandatory if it Vessel is in the hierarchy, otherwise it is optional. Internal to RDBES. Not to be filled in by users.</t>
  </si>
  <si>
    <t>The vessel should always be known for a fishing trip. Internal to RDBES. Not to be filled in by users.</t>
  </si>
  <si>
    <t>Foreign key/link to the Fishing Operation table. Internal to RDBES. Not to be filled in by users.</t>
  </si>
  <si>
    <t>Foreign key/link to the Temporal Event table. Internal to RDBES. Not to be filled in by users.</t>
  </si>
  <si>
    <t>Foreign key/link to the SamplingDetails table. Internal to RDBES. Not to be filled in by users.</t>
  </si>
  <si>
    <t>Mandatory if it OnshoreEvent is in the hierarchy, otherwise it is optional. Foreign key/link to the OnshoreEvent table. Internal to RDBES. Not to be filled in by users.</t>
  </si>
  <si>
    <t>Mandatory if it FishingTrip is in the hierarchy, otherwise it is optional. Foreign key/link to the Fishing Trip table. Internal to RDBES. Not to be filled in by users.</t>
  </si>
  <si>
    <t>Mandatory if VesselSelection is in the hierarchy, otherwise it is optional. Foreign key/link to the Vessel table. Internal to RDBES. Not to be filled in by users.</t>
  </si>
  <si>
    <t>Foreign key/link to Vessel Details table.  Filled in if the vessel that made the Landing Event is known and the TripID field is not completed (e.g. you know the vessel that made the landing, but don't know exactly which trip the landing is from).  Internal to RDBES. Not to be filled in by users.</t>
  </si>
  <si>
    <t>Mandatory for hierarchy 12. Foreign key/link to the Temporal Event table. Internal to RDBES. Not to be filled in by users.</t>
  </si>
  <si>
    <t>Mandatory for hierarchy 9. Foreign key/link to Sample table. Internal to RDBES. Not to be filled in by users.</t>
  </si>
  <si>
    <t>Mandatory if LandingEvent is in the hierarchy, otherwise it is optional. Foreign key/link to the LandingEvent table.  Internal to RDBES. Not to be filled in by users.</t>
  </si>
  <si>
    <t>Mandatory if it FishingOperation is in the hierarchy, otherwise it is optional. Foreign key/link to the FishingOperation table.  Internal to RDBES. Not to be filled in by users.</t>
  </si>
  <si>
    <t>Mandatory if it FishingTrip is in the hierarchy 6, otherwise it is optional. Foreign key/link to the FishingTrip table. Needed for H6.  Internal to RDBES. Not to be filled in by users.</t>
  </si>
  <si>
    <t>Mandatory if it OnshoreEvents is in the hierarchy 7, otherwise it is optional. Foreign key/link to the OnshoreEvents table. Needed for H7.  Internal to RDBES. Not to be filled in by users.</t>
  </si>
  <si>
    <t>Mandatory if it 'TemporalEvent is in the hierarchy 9, otherwise it is optional. Foreign key/link to the 'TemporalEvent table. Needed for H9.  Internal to RDBES. Not to be filled in by users.</t>
  </si>
  <si>
    <t>Foreign key/link to the SpeciesSelection table. Internal to RDBES. Not to be filled in by users.</t>
  </si>
  <si>
    <t>Foreign key/link to the Sample table. Internal to RDBES. Not to be filled in by users.</t>
  </si>
  <si>
    <t>There must be a link to either the Sample table or the Length Frequency table. Foreign key/link to the Sample table.  Internal to RDBES. Not to be filled in by users.</t>
  </si>
  <si>
    <t>There must be a link to either the Sample table or the Frequency Measure table. Foreign key/link to theFrequency Measure table.  Internal to RDBES. Not to be filled in by users.</t>
  </si>
  <si>
    <t>DEstratumName</t>
  </si>
  <si>
    <t>TEstratumName</t>
  </si>
  <si>
    <t>LOstratumName</t>
  </si>
  <si>
    <t>VSstratumName</t>
  </si>
  <si>
    <t>FTstratumName</t>
  </si>
  <si>
    <t>FOstratumName</t>
  </si>
  <si>
    <t>OSstratumName</t>
  </si>
  <si>
    <t>LEstratumName</t>
  </si>
  <si>
    <t>SSstratumName</t>
  </si>
  <si>
    <t>SAstratumName</t>
  </si>
  <si>
    <t>BVstratumName</t>
  </si>
  <si>
    <t>TEnumberSampled</t>
  </si>
  <si>
    <t>TEnumberSampledClusters</t>
  </si>
  <si>
    <t>LOnumberSampled</t>
  </si>
  <si>
    <t>LOnumberSampledClusters</t>
  </si>
  <si>
    <t>VSnumberSampledClusters</t>
  </si>
  <si>
    <t>VSnumSampClusters</t>
  </si>
  <si>
    <t>TEnumSamp</t>
  </si>
  <si>
    <t>TEnumSampClusters</t>
  </si>
  <si>
    <t>LOnumSampClusters</t>
  </si>
  <si>
    <t>LOnumSamp</t>
  </si>
  <si>
    <t>FTnumberSampled</t>
  </si>
  <si>
    <t>FTnumberSampledClusters</t>
  </si>
  <si>
    <t>FOnumberSampled</t>
  </si>
  <si>
    <t>FOnumberSampledClusters</t>
  </si>
  <si>
    <t>OSnumberSampled</t>
  </si>
  <si>
    <t>OSnumberSampledClusters</t>
  </si>
  <si>
    <t>LEnumberSampled</t>
  </si>
  <si>
    <t>LEnumberSampledClusters</t>
  </si>
  <si>
    <t>SSnumberSampled</t>
  </si>
  <si>
    <t>SSnumberSampledClusters</t>
  </si>
  <si>
    <t>SAnumberSampled</t>
  </si>
  <si>
    <t>BVnumberSampled</t>
  </si>
  <si>
    <t>FTnumSamp</t>
  </si>
  <si>
    <t>FTnumSampClusters</t>
  </si>
  <si>
    <t>FOnumSamp</t>
  </si>
  <si>
    <t>FOnumSampClusters</t>
  </si>
  <si>
    <t>OSnumSamp</t>
  </si>
  <si>
    <t>OSnumSampClusters</t>
  </si>
  <si>
    <t>LEnumSamp</t>
  </si>
  <si>
    <t>LEnumSampClusters</t>
  </si>
  <si>
    <t>SSnumSamp</t>
  </si>
  <si>
    <t>SSnumSampClusters</t>
  </si>
  <si>
    <t>SAnumSamp</t>
  </si>
  <si>
    <t>BVnumSamp</t>
  </si>
  <si>
    <t>TEnumTotal</t>
  </si>
  <si>
    <t>TEnumTotalClusters</t>
  </si>
  <si>
    <t>LOnumTotal</t>
  </si>
  <si>
    <t>LOnumTotalClusters</t>
  </si>
  <si>
    <t>VSnumTotalClusters</t>
  </si>
  <si>
    <t>FTnumTotal</t>
  </si>
  <si>
    <t>FTnumTotalClusters</t>
  </si>
  <si>
    <t>FOnumTotal</t>
  </si>
  <si>
    <t>FOnumTotalClusters</t>
  </si>
  <si>
    <t>OSnumTotalClusters</t>
  </si>
  <si>
    <t>OSnumTotal</t>
  </si>
  <si>
    <t>LEnumTotal</t>
  </si>
  <si>
    <t>LEnumTotalClusters</t>
  </si>
  <si>
    <t>SSnumTotal</t>
  </si>
  <si>
    <t>SSnumTotalClusters</t>
  </si>
  <si>
    <t>SAnumTotal</t>
  </si>
  <si>
    <t>BVnumTotal</t>
  </si>
  <si>
    <t>TEnumberTotalClusters</t>
  </si>
  <si>
    <t>TEnumberTotal</t>
  </si>
  <si>
    <t>LOnumberTotal</t>
  </si>
  <si>
    <t>LOnumberTotalClusters</t>
  </si>
  <si>
    <t>VSnumberTotalClusters</t>
  </si>
  <si>
    <t>FTnumberTotal</t>
  </si>
  <si>
    <t>FTnumberTotalClusters</t>
  </si>
  <si>
    <t>FOnumberTotal</t>
  </si>
  <si>
    <t>FOnumberTotalClusters</t>
  </si>
  <si>
    <t>OSnumberTotal</t>
  </si>
  <si>
    <t>OSnumberTotalClusters</t>
  </si>
  <si>
    <t>LEnumberTotal</t>
  </si>
  <si>
    <t>LEnumberTotalClusters</t>
  </si>
  <si>
    <t>SSnumberTotal</t>
  </si>
  <si>
    <t>SSnumberTotalClusters</t>
  </si>
  <si>
    <t>SAnumberTotal</t>
  </si>
  <si>
    <t>BVnumberTotal</t>
  </si>
  <si>
    <t xml:space="preserve">Data collected by: Self-sampling, Observer, Control, Electronic Monitoring (EM). In the future potential combinations of e.g. observer and EM. </t>
  </si>
  <si>
    <t xml:space="preserve">The selection probability. </t>
  </si>
  <si>
    <t xml:space="preserve">Used in 1st and 2nd stage cluster sampling. The selection probability of cluster i.  </t>
  </si>
  <si>
    <t xml:space="preserve">Used in 1st and 2nd stage cluster sampling. The inclusion probability of cluster i.  </t>
  </si>
  <si>
    <t xml:space="preserve">The inclusion probability. </t>
  </si>
  <si>
    <t xml:space="preserve">Codes: “Ind” = industry or “HuC” = human consumption or “None” for logbook registered discards. </t>
  </si>
  <si>
    <t>Exclusive Economic Zone indicator. If known, it is possible to declare a detailed, and more than one per sample, compared to the dominant information given in the Landing Event table. Only relevant for EU countries exporting to FDI 
“EU”: EU waters, “RFMO”: International waters, “COAST”: non-EU coastal waters</t>
  </si>
  <si>
    <t>Exclusive Economic Zone indicator.</t>
  </si>
  <si>
    <t xml:space="preserve">Indicator if the slipping, drop-outs, presorting and/or sorting was observed . The code is a combination of the observed first letters for Slipping, Drop-outs, Presorting and Sorting observation (Sl, Dr, Pr, So, SlDrPrSo, SlPrSo, DrPrSo, PrSo, and so on) or None. E.g., was the fishing operation screened/observed for the four observation types? Then use "SlDrPrSo". Did you only screen the sorting stage (typical in at-sea discard sampling)? Then use only "So". More details and examples in documentation (FAQ and Annex 4). </t>
  </si>
  <si>
    <t>Indicator if the slipping, drop-outs, presorting and/or sorting was observed . The code is a combination of the observed first letters for Slipping, Drop-outs, Presorting and Sorting observation or None (= catches of fishing operation not observed).</t>
  </si>
  <si>
    <t>SpeciesSelection</t>
  </si>
  <si>
    <t>Mandatory for hierarchy 9. Foreign key/link to Species Selection table. Internal to RDBES. Not to be filled in by users.</t>
  </si>
  <si>
    <t>Foreign key/link to Species Selection table. (for hierarchy 9)</t>
  </si>
  <si>
    <t>Jurisdiction area</t>
  </si>
  <si>
    <t xml:space="preserve">Area belonging to a country or a part of an area used by Long Distance Fisheries. </t>
  </si>
  <si>
    <t>FOjurisdictionArea</t>
  </si>
  <si>
    <t>FOjurisdArea</t>
  </si>
  <si>
    <t>LEjurisdictionArea</t>
  </si>
  <si>
    <t>LEjurisdArea</t>
  </si>
  <si>
    <t>SAjurisdictionArea</t>
  </si>
  <si>
    <t>SAjurisdArea</t>
  </si>
  <si>
    <t>GSA subarea</t>
  </si>
  <si>
    <t xml:space="preserve">String </t>
  </si>
  <si>
    <t>FTencryptedVesselCode</t>
  </si>
  <si>
    <t>FTencrVessCode</t>
  </si>
  <si>
    <t>FTsampled</t>
  </si>
  <si>
    <t>FTsamp</t>
  </si>
  <si>
    <t>FOsampled</t>
  </si>
  <si>
    <t>FOsamp</t>
  </si>
  <si>
    <t>SAexclusiveEconomicZoneIndicator</t>
  </si>
  <si>
    <t>SAeconZoneIndi</t>
  </si>
  <si>
    <t>FOexclusiveEconomicZoneIndicator</t>
  </si>
  <si>
    <t>FOeconZoneIndi</t>
  </si>
  <si>
    <t>Exclusive Economic Zone indicator.  Only relevant for EU countries exporting to FDI 
“EU”: EU waters, “RFMO”: International waters, “COAST”: non-EU coastal waters</t>
  </si>
  <si>
    <t>Dominant Exclusive Economic Zone indicator.  Only relevant for EU countries exporting to FDI 
“EU”: EU waters, “RFMO”: International waters, “COAST”: non-EU coastal waters</t>
  </si>
  <si>
    <t>Not in format</t>
  </si>
  <si>
    <t>The name of this unit. Indicate a sampling unit may appear more than once. National identfier for the time unit e.g. "Week23", "March" etc.</t>
  </si>
  <si>
    <t>This will often be a harbour. Recommended to use code for market, processer etc. Use to distinguish e.g. between a market and a port sampling at the same LOCODE the same day.</t>
  </si>
  <si>
    <t>Mitigation device</t>
  </si>
  <si>
    <t>Dominant Area level 3 (level 4 for Baltic, Mediterranean, and Black Seas) in the Data Collection Regulation (EC, 2008a, 2008b). Dominant because there potentially could be multiple area.</t>
  </si>
  <si>
    <t>Dominant Fishing activity metier level 5. Level 5 as defined in a fishing activity hierarchic structure in the Data Collection Regulation (EC, 2008a, 2008b).</t>
  </si>
  <si>
    <t>Dominant Fishing activity metier level 6. Level 6 as defined in a fishing activity hierarchic structure in the Data Collection Regulation (EC, 2008a, 2008b). Level 6 is further specified by the Regional Coordination Meetings (EC RCMs, Council Regulation [EC] No 1543/2000) or any later authorized revision.  
Further discussion needed for Norwegian data.</t>
  </si>
  <si>
    <t>Dominant FAO gear code. If the gear is not known use MIS</t>
  </si>
  <si>
    <t xml:space="preserve">Not needed for gears without meshes e.g. LLD,  LLS,  LHM,  LHP,  LL,  FPO.  For other gears the dominant mesh size should be completed where it is known. (This mesh size field is different from the one in Fishing Operation, which is mandatory) </t>
  </si>
  <si>
    <t xml:space="preserve">The name of this unit. Indicate a sampling unit may appear more than once. </t>
  </si>
  <si>
    <t xml:space="preserve">Link to a new SpeciesListName table. </t>
  </si>
  <si>
    <t xml:space="preserve">Registers how the catch is sampled by observers. This is really a strata so e.g., ”Catch” and ”Lan” cannot be provided for the same haul.  Population is given by catchReg in upper table
 options: 
 Catch – observers take a sample from the catch; Must be All in upper table; lower table must start with a catch sample (that sample may eventually be subsampled into land and disc)
 Lan – row describes samples from the landings. Can be All or Lan in upper table. Lower table starts with Lan
 Dis – row describes samples from discards. Can be All or Dis in upper table. Lower table starts with Dis
 Note: If upper All, than both Lan and Dis rows must be declared. 
</t>
  </si>
  <si>
    <t>The measured weight of the fish that this sample or sub-sample was taken from in grammes.  For example if you sample 1 box from 4 boxes of fish that were available then the SAtotalWeightMeasured is the measured weight of 4 boxes of fish.  The value can be the same as SAtotalWeightLive if live/whole fish are being measured. Decimals not allowed.</t>
  </si>
  <si>
    <t>State of the specimens:
Dead – the specimen is definitely dead
Alive - the specimen was released alive to the sea 
Mixed - mixture of dead, impaired and/or healthy specimens in unknown proportion 
Unknown – the observer was not able to note the state of specimen but was expected to (e.g. specimens dropped of gillnets to the sea, especially on video record)
Not determined - the observer did not try to determine the state of the specimen, 
Decomposed (dead before caught) – bycaught carcass has marks confirming that the specimen died before it was caught.</t>
  </si>
  <si>
    <r>
      <t xml:space="preserve">The measured weight of the fish that are in this sample or sub-sample in grammes.  For example if you sample 1 box from 4 boxes of fish that were available then the SAsampleWeightMeasured is the measured weight of 1 box of fish.  The value can be the same as SAsampleWeightLive if live/whole fish are being measured. Decimals not allowed.  </t>
    </r>
    <r>
      <rPr>
        <strike/>
        <sz val="9"/>
        <color theme="1"/>
        <rFont val="Calibri"/>
        <family val="2"/>
        <scheme val="minor"/>
      </rPr>
      <t/>
    </r>
  </si>
  <si>
    <t>TEsampled</t>
  </si>
  <si>
    <t>TEsamp</t>
  </si>
  <si>
    <t>LOsampled</t>
  </si>
  <si>
    <t>LOsamp</t>
  </si>
  <si>
    <t>OSsampled</t>
  </si>
  <si>
    <t>OSsamp</t>
  </si>
  <si>
    <t>LEsampled</t>
  </si>
  <si>
    <t>LEsamp</t>
  </si>
  <si>
    <t>SSsampled</t>
  </si>
  <si>
    <t>SSsamp</t>
  </si>
  <si>
    <t>SAsampled</t>
  </si>
  <si>
    <t>SAsamp</t>
  </si>
  <si>
    <t>BVfishId</t>
  </si>
  <si>
    <t>FMmeasurementEquipment</t>
  </si>
  <si>
    <t>FMmeasEquip</t>
  </si>
  <si>
    <t>FMaddGrpMeasurement</t>
  </si>
  <si>
    <t>FMaddGrpMeasurementType</t>
  </si>
  <si>
    <t>FMaddGrpMeasType</t>
  </si>
  <si>
    <t>FMaddGrpMeas</t>
  </si>
  <si>
    <t>FOgsaSubarea</t>
  </si>
  <si>
    <t>FOselectionProb</t>
  </si>
  <si>
    <t>FOselProb</t>
  </si>
  <si>
    <t>FOincProb</t>
  </si>
  <si>
    <t>FOinclusionProb</t>
  </si>
  <si>
    <t>FOselectionProbCluster</t>
  </si>
  <si>
    <t>FOinclusionProbCluster</t>
  </si>
  <si>
    <t>FOselProbCluster</t>
  </si>
  <si>
    <t>FOincProbCluster</t>
  </si>
  <si>
    <t>BVinclusionProb</t>
  </si>
  <si>
    <t>BVselectionProb</t>
  </si>
  <si>
    <t>BVselProb</t>
  </si>
  <si>
    <t>BVincProb</t>
  </si>
  <si>
    <t>FTselectionProb</t>
  </si>
  <si>
    <t>FTinclusionProb</t>
  </si>
  <si>
    <t>FTselProb</t>
  </si>
  <si>
    <t>FTincProb</t>
  </si>
  <si>
    <t>FTselectionProbCluster</t>
  </si>
  <si>
    <t>FTinclusionProbCluster</t>
  </si>
  <si>
    <t>FTselProbCluster</t>
  </si>
  <si>
    <t>FTincProbCluster</t>
  </si>
  <si>
    <t>LEencryptedVesselCode</t>
  </si>
  <si>
    <t>LEencrVessCode</t>
  </si>
  <si>
    <t>LEgsaSubarea</t>
  </si>
  <si>
    <t>LEexclusiveEconomicZoneIndicator</t>
  </si>
  <si>
    <t>LEeconZoneIndi</t>
  </si>
  <si>
    <t>LEselectionProb</t>
  </si>
  <si>
    <t>LEselProb</t>
  </si>
  <si>
    <t>LEincProb</t>
  </si>
  <si>
    <t>LEinclusionProb</t>
  </si>
  <si>
    <t>LEinclusionProbCluster</t>
  </si>
  <si>
    <t>LEincProbCluster</t>
  </si>
  <si>
    <t>LEselProbCluster</t>
  </si>
  <si>
    <t>LEselectionProbCluster</t>
  </si>
  <si>
    <t>Metier level 6 fishing activity</t>
  </si>
  <si>
    <t>LEmitigationDevice</t>
  </si>
  <si>
    <t>LOlocode</t>
  </si>
  <si>
    <t>LOselectionProb</t>
  </si>
  <si>
    <t>LOselProb</t>
  </si>
  <si>
    <t>LOincProb</t>
  </si>
  <si>
    <t>LOinclusionProb</t>
  </si>
  <si>
    <t>LOselectionProbCluster</t>
  </si>
  <si>
    <t>LOselProbCluster</t>
  </si>
  <si>
    <t>LOincProbCluster</t>
  </si>
  <si>
    <t>LOinclusionProbCluster</t>
  </si>
  <si>
    <t>OSinclusionProbCluster</t>
  </si>
  <si>
    <t>OSselectionProbCluster</t>
  </si>
  <si>
    <t>OSselProbCluster</t>
  </si>
  <si>
    <t>OSincProbCluster</t>
  </si>
  <si>
    <t>OSselProb</t>
  </si>
  <si>
    <t>OSincProb</t>
  </si>
  <si>
    <t>OSselectionProb</t>
  </si>
  <si>
    <t>OSinclusionProb</t>
  </si>
  <si>
    <t>SAselectionProb</t>
  </si>
  <si>
    <t>SAinclusionProb</t>
  </si>
  <si>
    <t>SAselProb</t>
  </si>
  <si>
    <t>SAincProb</t>
  </si>
  <si>
    <t>SAgsaSubarea</t>
  </si>
  <si>
    <t>SSobservationType</t>
  </si>
  <si>
    <t>SSobservationActivityType</t>
  </si>
  <si>
    <t>SSspeciesListName</t>
  </si>
  <si>
    <t>SSspecListName</t>
  </si>
  <si>
    <t>SSselectionProbCluster</t>
  </si>
  <si>
    <t>SSinclusionProbCluster</t>
  </si>
  <si>
    <t>SSselProbCluster</t>
  </si>
  <si>
    <t>SSincProbCluster</t>
  </si>
  <si>
    <t>SSinclusionProb</t>
  </si>
  <si>
    <t>SSincProb</t>
  </si>
  <si>
    <t>SSselProb</t>
  </si>
  <si>
    <t>SSselectionProb</t>
  </si>
  <si>
    <t>TEselectionProbCluster</t>
  </si>
  <si>
    <t>TEselProbCluster</t>
  </si>
  <si>
    <t>TEincProbCluster</t>
  </si>
  <si>
    <t>TEinclusionProbCluster</t>
  </si>
  <si>
    <t>TEselectionProb</t>
  </si>
  <si>
    <t>TEinclusionProb</t>
  </si>
  <si>
    <t>TEselProb</t>
  </si>
  <si>
    <t>TEincProb</t>
  </si>
  <si>
    <t>VSselectionProb</t>
  </si>
  <si>
    <t>VSselProb</t>
  </si>
  <si>
    <t>VSincProb</t>
  </si>
  <si>
    <t>VSinclusionProb</t>
  </si>
  <si>
    <t>VSinclusionProbCluster</t>
  </si>
  <si>
    <t>VSincProbCluster</t>
  </si>
  <si>
    <t>VSselProbCluster</t>
  </si>
  <si>
    <t>VSselectionProbCluster</t>
  </si>
  <si>
    <t>Species code FAO</t>
  </si>
  <si>
    <t>SAspeciesCodeFAO</t>
  </si>
  <si>
    <t>SAspeCodeFAO</t>
  </si>
  <si>
    <t xml:space="preserve">FAO species code (example: SOL for Solea solea). Included for making the species code human readable. </t>
  </si>
  <si>
    <t>Mesh size (mm).  The following: LLD, LLS, LHM, LHP, LL, FPO cannot insert mesh size.</t>
  </si>
  <si>
    <t xml:space="preserve">The sum total length of nets or number of hooks or pots. Do not fill-in for active gears.  </t>
  </si>
  <si>
    <t xml:space="preserve">Mesh size (mm).  The following: LLD, LLS, LHM, LHP, LL, FPO cannot insert mesh size. </t>
  </si>
  <si>
    <t>The number of trips sampled in this stratum/cluster.</t>
  </si>
  <si>
    <t>The number of fishing operations sampled in this stratum/cluster.</t>
  </si>
  <si>
    <t xml:space="preserve">Shooting (start) position in decimal degrees of latitude. </t>
  </si>
  <si>
    <t xml:space="preserve">Shooting (start) position in decimal degrees of longitude. </t>
  </si>
  <si>
    <t xml:space="preserve">Hauling (stop) position in decimal degrees of latitude. Mandatory for the Sampling type 'At-sea' in Fishing Trip. </t>
  </si>
  <si>
    <t xml:space="preserve">Hauling (stop) position in decimal degrees of longitude.  </t>
  </si>
  <si>
    <t>Reference to VD is done through; VSencryptedVesselCode, SDcountry, DEyear</t>
  </si>
  <si>
    <t>Reference to VD is done through; LEencryptedVesselCode, SDcountry, DEyear</t>
  </si>
  <si>
    <t>Field Name Description</t>
  </si>
  <si>
    <t xml:space="preserve">Indicating the sampling scheme type code list: 'Regional Routine', 'Regional Pilot', 'National Routine', 'National Pilot' or 'Research project'. Routine is continued maybe with updates each year. A pilot is a test of a routine so it is done for the first time for a short periode. Research is all other studies/projects. </t>
  </si>
  <si>
    <t>UK1, Uk2</t>
  </si>
  <si>
    <t>Vocabulary code type</t>
  </si>
  <si>
    <t>Indicating if the unit was sampled: Y/N. If No no child records are expected.</t>
  </si>
  <si>
    <t>ISO 3166  alfa-2 codes, but also e.g. GB-SCT. The country that did the sampling</t>
  </si>
  <si>
    <t>VD table code list</t>
  </si>
  <si>
    <t>Encrypted vessel identifier max. 100 characters, encrypted by the national institute before it is upload. Id encrypted so that no-one can map the Id to the real vessel. This code it refering to the Encrypted Vessel Identifier field in the Vessel Details.</t>
  </si>
  <si>
    <t>VS table code list</t>
  </si>
  <si>
    <t>Encrypted vessel identifier max. 100 characters, encrypted by the national institute before it is upload. Id encrypted so that no-one can map the Id to the real vessel. This code should be used by the Encrypted Vessel Identifier field in the Vessel Selection. If the characteristics of the vessel change range group e.g. length group, then a new encrypted vessel code have to be inserted. If regional sampling schemes are use, then the vessels have to be coordinated across countries, so one vessel only appears as one record/vessel in this Vessel Details table.</t>
  </si>
  <si>
    <t>GSA subarea, mandatory for FAO area 37 (Mediterranean and Black Sea). (Use 'NotApplicable' if not fishing in the area)</t>
  </si>
  <si>
    <t xml:space="preserve">Area belonging to a country or a part of an area among others used by Long Distance Fisheries. </t>
  </si>
  <si>
    <t>Country specific fishing activity  (like a métier on lower level). The national fishing activity as defined by each country on a lower resolution, e.g. at the gear type level which is the same as metier level 4.  Each code within this vocabulary should have the relevent ISO_3166 country code pre-pended e.g. "DK_OTB_...".  Countries can request new codes to be added to the list by emailing ICES Data Centre.</t>
  </si>
  <si>
    <t>The number of fishing operations sampled for this catch registration in this stratum/cluster.</t>
  </si>
  <si>
    <t>The ISO 3166 alpha-2 codes, but also e.g. GB-SCT, for the country that this LandingEvent is location in.  Special value if landing at sea to a factory ship.</t>
  </si>
  <si>
    <t>Dominant Area level 5 in the Data Collection Regulation (EC, 2008a, 2008b). This is the ICES statistical rectangles (e.g. 41G9) except for the Mediterranean and Black Seas, where GFCM geographical subareas (GSAs) are used, in such case use '-9'.</t>
  </si>
  <si>
    <t xml:space="preserve">Dominant Area belonging to a country or a part of an area among others used by Long Distance Fisheries. </t>
  </si>
  <si>
    <t>Dominant Country specific fishing activity  (like a métier on lower level). The national fishing activity as defined by each country on a lower resolution, e.g. at the gear type level which is the same as metier level 4.  Each code within this vocabulary should have the relevent ISO_3166 country code pre-pended e.g. "DK_OTB_...".  Countries can request new codes to be added to the list by emailing ICES Data Centre.</t>
  </si>
  <si>
    <t>Sex. U=Unsexed, M=Male, F=Female, T=Transitional. If 'Unsexed' is selected potentially the sample could be sexed later and that would in such case be in the BV.</t>
  </si>
  <si>
    <t xml:space="preserve">Area level 5 in the Data Collection Regulation (EC, 2008a, 2008b). This is the ICES statistical rectangles (e.g. 41G9) except for the Mediterranean and Black Seas, where GFCM geographical subareas (GSAs) are used, in such case use '-9'.  If known, it is possible to declare a detailed, and more than one per sample, compared to the dominant information given in the Landing Event table.  </t>
  </si>
  <si>
    <t>Country specific fishing activity  (like a métier on lower level). The national fishing activity as defined by each country on a lower resolution, e.g. at the gear type level which is the same as metier level 4.  If know, it is possible to declare a detailed, and more than one per sample, compared to the dominant information given in the Landing Event table.   Each code within this vocabulary should have the relevent ISO_3166 country code pre-pended e.g. "DK_OTB_...".  Countries can request new codes to be added to the list by emailing ICES Data Centre.</t>
  </si>
  <si>
    <t>The live weight of the fish of that sample or sub-sample was taken in grammes.  For example if you sample 1 box from 4 boxes of fish that were available then the SAtotalWeightLive is the live weight of 4 boxes of fish/.  Gutted/processed fish have to be converted to whole weight in grammes. Decimals not allowed.</t>
  </si>
  <si>
    <t xml:space="preserve">The live weight of the fish that are in this sample or sub-sample in grammes.  For example if you sample 1 box from 4 boxes of fish that were available then the SAsampleWeightLive is the live weight of 1 box of fish.  Gutted/processed fish have to be converted to whole weight in grammes. Decimals not allowed.  </t>
  </si>
  <si>
    <t>BVvalueUnitOrScale</t>
  </si>
  <si>
    <t>BVvalUnitScale</t>
  </si>
  <si>
    <t>The unit or scale of the measured value</t>
  </si>
  <si>
    <t>Accuracy</t>
  </si>
  <si>
    <t>BVaccuracy</t>
  </si>
  <si>
    <t>Accuracy of measurements (presently only for length and weight). For information this is the orginal national unit for the length class. Class: 1mm="mm", 0.5cm="scm"; 1cm="cm"; 2.5cm=25mm", 5cm="5cm", 1 g, 100 g, 0,5 kg, 1 kg.</t>
  </si>
  <si>
    <t>Certainty qualitative</t>
  </si>
  <si>
    <t>BVcertaintyQualitative</t>
  </si>
  <si>
    <t>BVcertaintyQuali</t>
  </si>
  <si>
    <t>Qualitative measures of certainty e.g. WGBIOP's quality scale for age readability. Use 'Unknown' if not recorded and 'NotApplicable' if this is not reported for this measuremnet e.g. length</t>
  </si>
  <si>
    <t>Certainty quantitative</t>
  </si>
  <si>
    <t>Quantitative measures of certainty e.g. statistical likelihood of being a certain stock or percentage agreement in e.g. age and maturity readings between readers</t>
  </si>
  <si>
    <t>Indicator of presence ("Y") or absence ("N") of stratification of units of that sampling level</t>
  </si>
  <si>
    <t>Indicator of presence ("Y") or absence ("N") of stratification of units in that level of the sampling hierarchy</t>
  </si>
  <si>
    <t>Fishing duration source</t>
  </si>
  <si>
    <t>FOdurationSource</t>
  </si>
  <si>
    <t>Handling time</t>
  </si>
  <si>
    <t>FOhandlingTime</t>
  </si>
  <si>
    <t>FOhandTime</t>
  </si>
  <si>
    <t>In Minutes. Time spent handling the gear. Measured as: end of FO to the completion of catch removal from the gear (in active gears), time spent checking the gear (in passive gears).</t>
  </si>
  <si>
    <t>Date when of the gear start. "YYYY-MM-DD" (UTC). date of shooting (active) or last setting (passive) of the gear.</t>
  </si>
  <si>
    <t>Time when of the gear start. "HH:MM"… in UTC. Time of shooting (active) or last setting (passive) of the gear-</t>
  </si>
  <si>
    <t>Name of stratum ('U' for unstratified).</t>
  </si>
  <si>
    <t>FOincidentalByCatchMitigationDeviceTargetFirst</t>
  </si>
  <si>
    <t>Species or assemblage which mitigation is reduced by the first incidental by-catch mitigation device.</t>
  </si>
  <si>
    <t>FOincidentalByCatchMitigationDeviceSecond</t>
  </si>
  <si>
    <t>FOincidentalByCatchMitigationDeviceTargetSecond</t>
  </si>
  <si>
    <t>First incidental by catch mitigation device target</t>
  </si>
  <si>
    <t>Second incidental by catch mitigation device</t>
  </si>
  <si>
    <t>Second incidental by catch mitigation device target</t>
  </si>
  <si>
    <t>FOincBycMitigDevTargetFirst</t>
  </si>
  <si>
    <t>FOincBycMitigDevSecond</t>
  </si>
  <si>
    <t>FOincBycMitigDevTargetSecond</t>
  </si>
  <si>
    <t>First mitigation device specific for reducing incidental by-catch</t>
  </si>
  <si>
    <t>Second mitigation device specific for reducing incidental by-catch</t>
  </si>
  <si>
    <t>BVnationalUniqueFishId</t>
  </si>
  <si>
    <t>National ID of the Individual fish / specimen. Unique across all species, years etc. This could be use as the link to other system e.g. SmartDots.</t>
  </si>
  <si>
    <t>National unique fish ID</t>
  </si>
  <si>
    <t>FMpresentation</t>
  </si>
  <si>
    <t>FMpres</t>
  </si>
  <si>
    <t>State of processing</t>
  </si>
  <si>
    <t xml:space="preserve">Presentation </t>
  </si>
  <si>
    <t>State of processing e.g. boiled, frozen and defrosted. If the state is not known, then use 'Unknown'</t>
  </si>
  <si>
    <t>Presentation; the condition in which the sample was presented, e.g. gutted, whole, headless, tail, wing. The presentation will in most cases follow the presentation in the SA table.</t>
  </si>
  <si>
    <t xml:space="preserve">Presentation; the condition in which the sample was presented, e.g. gutted, whole, headless, tail, wing. The presentation will be related to the commercial category but can differ within a single commercial category. This is pertinent to the weight fields. </t>
  </si>
  <si>
    <t>The measurement type of the additional grouped measurement. Presently only  weights are an option as an additional measurement e.g. "total measured weight (g)". So it correspont to the presentation and state field in the FM table.</t>
  </si>
  <si>
    <t>The additional measurement of the number of individual measured within the specified class. Presently only weigths is allowed for and should be declared in grams (g)</t>
  </si>
  <si>
    <t>FMclassMeasured</t>
  </si>
  <si>
    <t>FMclassMeas</t>
  </si>
  <si>
    <t>Length or weight class measured</t>
  </si>
  <si>
    <t>The measured class in mm. or grammes, typically length (Lower bound of size class, e.g. 650 for 65-66 cm)</t>
  </si>
  <si>
    <t>Measurement type (measured)</t>
  </si>
  <si>
    <t>FMtypeMeasured</t>
  </si>
  <si>
    <t>FMtypeMeas</t>
  </si>
  <si>
    <t>FMconversionFactorAssessment</t>
  </si>
  <si>
    <t>Conversion factor assessment</t>
  </si>
  <si>
    <t>FMtypeAssessment</t>
  </si>
  <si>
    <t>Measurement type for assessment</t>
  </si>
  <si>
    <t>The measured measurement type of the e.g. total length, measured weight, carapace length.</t>
  </si>
  <si>
    <t>BVpresentation</t>
  </si>
  <si>
    <t>BVpres</t>
  </si>
  <si>
    <t>State of processing e.g. boiled, frozen and defrosted. The state will often be the same as the state in the SA table, but in some cases it may change e.g. fish are sampled fresh at-sea in the SA, then a sub-sampled is frozen down and the BV variables are measured later in the lab on defrosted fish. If the state is not known, then use 'Unknown'</t>
  </si>
  <si>
    <t>BVtypeMeasured</t>
  </si>
  <si>
    <t>BVtypeMeas</t>
  </si>
  <si>
    <t>BVvalueMeasured</t>
  </si>
  <si>
    <t>BVvalueMeas</t>
  </si>
  <si>
    <t>BVconversionFactorAssessment</t>
  </si>
  <si>
    <t>BVtypeAssessment</t>
  </si>
  <si>
    <t>DEsampled</t>
  </si>
  <si>
    <t>DEreasonNotSampled</t>
  </si>
  <si>
    <t>DEsamp</t>
  </si>
  <si>
    <t>DEnoSampReason</t>
  </si>
  <si>
    <t>Mean depth of gear (average of gear depth at start and end of the fishing operation).</t>
  </si>
  <si>
    <t>Hierarchy correct</t>
  </si>
  <si>
    <t>Time stratum</t>
  </si>
  <si>
    <t>Temporal event clustering</t>
  </si>
  <si>
    <t>Temporal event cluster name</t>
  </si>
  <si>
    <t>Number total</t>
  </si>
  <si>
    <t>Time sampled</t>
  </si>
  <si>
    <t>Selection method cluster</t>
  </si>
  <si>
    <t>Total clusters</t>
  </si>
  <si>
    <t>Sampled clusters</t>
  </si>
  <si>
    <t>Number  total</t>
  </si>
  <si>
    <t>Cluster name</t>
  </si>
  <si>
    <t>Location sampled</t>
  </si>
  <si>
    <t>Encrypted vessel code</t>
  </si>
  <si>
    <t>Vessel stratum</t>
  </si>
  <si>
    <t>Number sampled</t>
  </si>
  <si>
    <t>Trip stratum</t>
  </si>
  <si>
    <t>Fishing trips clustering</t>
  </si>
  <si>
    <t>Fishing trips cluster name</t>
  </si>
  <si>
    <t>Fishing trip total</t>
  </si>
  <si>
    <t>Fishing trips sampled</t>
  </si>
  <si>
    <t>Fishing trip total clusters</t>
  </si>
  <si>
    <t>Fishing trip sampled clusters</t>
  </si>
  <si>
    <t>Start date</t>
  </si>
  <si>
    <t>Start time</t>
  </si>
  <si>
    <t>End date</t>
  </si>
  <si>
    <t>End time</t>
  </si>
  <si>
    <t>Exclusive economic zone indicator</t>
  </si>
  <si>
    <t>Observation code</t>
  </si>
  <si>
    <t xml:space="preserve">Fishing operation total </t>
  </si>
  <si>
    <t xml:space="preserve">Fishing operation sampled </t>
  </si>
  <si>
    <t>Fishing operation stratum</t>
  </si>
  <si>
    <t>Onshore stratum</t>
  </si>
  <si>
    <t>Time value</t>
  </si>
  <si>
    <t>Onshore total</t>
  </si>
  <si>
    <t>Onshore sampled</t>
  </si>
  <si>
    <t>Landing event stratum</t>
  </si>
  <si>
    <t xml:space="preserve">Landing event total </t>
  </si>
  <si>
    <t xml:space="preserve">Landing event sampled </t>
  </si>
  <si>
    <t>Observation activity type</t>
  </si>
  <si>
    <t>Catch fraction</t>
  </si>
  <si>
    <t>Observation type</t>
  </si>
  <si>
    <t>Species selection stratum</t>
  </si>
  <si>
    <t>Species list name</t>
  </si>
  <si>
    <t>Use to calculate zeros</t>
  </si>
  <si>
    <t>Total number species</t>
  </si>
  <si>
    <t>Sampled number species</t>
  </si>
  <si>
    <t>Species selection method</t>
  </si>
  <si>
    <t>Parent sequence number</t>
  </si>
  <si>
    <t>Specimens state</t>
  </si>
  <si>
    <t>Catch category</t>
  </si>
  <si>
    <t>Total weight live</t>
  </si>
  <si>
    <t xml:space="preserve">Sampling unit total </t>
  </si>
  <si>
    <t xml:space="preserve">Sampling units sampled  </t>
  </si>
  <si>
    <t>Sample weight live</t>
  </si>
  <si>
    <t>Lower hierarchy</t>
  </si>
  <si>
    <t>Total weight measured</t>
  </si>
  <si>
    <t>Sample weight measured</t>
  </si>
  <si>
    <t>Conversion factor measured to live</t>
  </si>
  <si>
    <t>Value unit or scale</t>
  </si>
  <si>
    <t>Biological variable total</t>
  </si>
  <si>
    <t>Biological variable sampled</t>
  </si>
  <si>
    <t xml:space="preserve">Biological variable stratum </t>
  </si>
  <si>
    <t>Second incidental by-catch mitigation device. 'None' when device is not present. Report "no See details in code list: this variable relates to devices specific for mitigation of incidental by-catch species, not general mitigation measures aimed at reducing general by-catch of commercials fisheries (compare with RS_SelectionDevice). E.g. a grid for seals should be reported but not a Nephrops grid (those go under FOselectionDevice). Find more on types of mitigation devices for incidental by-catch in Hamilton &amp; Baker 2019 Rev Fish Biol Fisheries 29, 223–247</t>
  </si>
  <si>
    <t>First incidental by-catch mitigation device. 'None' when device is not present. See details in code list: this variable relates to devices specific for mitigation of incidental by-catch species, not general mitigation measures aimed at reducing general by-catch of commercials fisheries (compare with RS_SelectionDevice). E.g. a grid for seals should be reported but not a Nephrops grid (those go under FOselectionDevice). Find more on types of mitigation devices for incidental by-catch in Hamilton &amp; Baker 2019 Rev Fish Biol Fisheries 29, 223–247</t>
  </si>
  <si>
    <t>Species or assemblage which mitigation is reduced by the first incidental by-catch mitigation device. "NotApplicable" when device does not exist.</t>
  </si>
  <si>
    <t xml:space="preserve">Species or assemblage which mitigation is reduced by the second incidental by-catch mitigation device. "NotApplicable" when device does not exist. </t>
  </si>
  <si>
    <t>Species or assemblage which mitigation is reduced by the second incidental by-catch mitigation device.</t>
  </si>
  <si>
    <t>LOlocationType</t>
  </si>
  <si>
    <t>LElocode</t>
  </si>
  <si>
    <t>Landing location name</t>
  </si>
  <si>
    <t xml:space="preserve">Sampling location </t>
  </si>
  <si>
    <t>LOlocType</t>
  </si>
  <si>
    <t>LOlocName</t>
  </si>
  <si>
    <t>LElocName</t>
  </si>
  <si>
    <t>OSlocName</t>
  </si>
  <si>
    <t>Sampling location</t>
  </si>
  <si>
    <t>Sampling location type</t>
  </si>
  <si>
    <t>Sampling locode</t>
  </si>
  <si>
    <t>State of processing e.g. boiled, frozen and defrosted. The state will often be the same as the state in the SA table, but in some cases it may change e.g. fish are sampled fresh at-sea in the SA, then they are frozen and the FM variables are measured later in the lab on defrosted fish. If the state is not known, then use 'Unknown'</t>
  </si>
  <si>
    <t>Type of biological measurement measured</t>
  </si>
  <si>
    <t>Value of biological measurement measured</t>
  </si>
  <si>
    <t>BVtypeAssess</t>
  </si>
  <si>
    <t>BVconFacAssess</t>
  </si>
  <si>
    <t>FMconFacAssess</t>
  </si>
  <si>
    <t>FMtypeAssess</t>
  </si>
  <si>
    <t>The conversion factor needed for the conversion from the measured type to the assessment type. If no conversion or not applicable then use 1.</t>
  </si>
  <si>
    <t>Decimal(4)</t>
  </si>
  <si>
    <t>BVcertaintyQuantitative</t>
  </si>
  <si>
    <t>BVcertaintyQuanti</t>
  </si>
  <si>
    <t>FMmethod</t>
  </si>
  <si>
    <t>The name for the sampling scheme under which the data were collected. Contact support if you need your sampling scheme added</t>
  </si>
  <si>
    <t xml:space="preserve"> Sampling scheme type code list: 
'Regional Routine', 'Regional Pilot', 'National Routine', 'National Pilot'. </t>
  </si>
  <si>
    <t>Design stratum</t>
  </si>
  <si>
    <t>Name of stratum ('U' for unstratified). Name should be as concise and meaningful as possible.</t>
  </si>
  <si>
    <t>Number of hauls or sets</t>
  </si>
  <si>
    <t>FTnumberOfHaulsOrSets</t>
  </si>
  <si>
    <t>Total number of hauls/sets taken during the trip. Both the stations where biological measures were taken and the stations that were not worked up should be counted here. Mandatory when FTsampler == "Observer” and FTsamplingType == “at-sea”.</t>
  </si>
  <si>
    <t>Number of hauls/sets taken during the trip. Mandatory when FTsampler == "Observer” and FTsamplingType == “at-sea”.</t>
  </si>
  <si>
    <t>LOCODE of departure Location. Mandatory when FTsampler == "Observer” and FTsamplingType == “at-sea”</t>
  </si>
  <si>
    <t>"HH:MM". The time of departure of the trip. Mandatory when FTsampler == "Observer” and FTsamplingType == “at-sea”</t>
  </si>
  <si>
    <t>Departure time. Mandatory when FTsampler == "Observer” and FTsamplingType == “at-sea”</t>
  </si>
  <si>
    <t>Arrival date</t>
  </si>
  <si>
    <t>"HH:MM". The arrival time of the trip. Mandatory when FTsampler == "Observer” and FTsamplingType == “at-sea”</t>
  </si>
  <si>
    <t>Arrival time. Mandatory when FTsampler == "Observer” and FTsamplingType == “at-sea”</t>
  </si>
  <si>
    <t>Date when the fishing operation ends or catch is removed (e.g., if the gear remains in water).  "YYYY-MM-DD" (UTC). If FOaggregationLevel == T, this coincides with arrivalDate of trip.</t>
  </si>
  <si>
    <t>Time when the fishing operation ends or catch is removed (e.g., if the gear remains in water). "HH:MM"… in UTC. Mandatory when FTsampler == “Observer” and FTsamplingType == “at-sea”.</t>
  </si>
  <si>
    <t>In minutes.  Time spent towing (active) or soaking (passive). Mandatory when FTsampler == “Observer” and FTsamplingType == “at-sea”.</t>
  </si>
  <si>
    <t>Time spent towing (active) or soaking (passive) in minutes . Mandatory when FTsampler == “Observer” and FTsamplingType == “at-sea”.</t>
  </si>
  <si>
    <t>Mean fishing depth</t>
  </si>
  <si>
    <t>Mean water depth</t>
  </si>
  <si>
    <t>Selection device. Note: this is different from IncidentalByCatchMitigateDevices.</t>
  </si>
  <si>
    <t>First incidental by catch mitigation device</t>
  </si>
  <si>
    <t>FOincidentalByCatchMitigationDeviceFirst</t>
  </si>
  <si>
    <t>FOincBycMitigDevFirst</t>
  </si>
  <si>
    <t>The haul number (if there is one) for this LandingEvent record.</t>
  </si>
  <si>
    <r>
      <t>Name of stratum ('U' for unstratified). Typically Unstratified but could be e.g. demersal landings and pelagic landings. Name should be as concise and meaningful as p</t>
    </r>
    <r>
      <rPr>
        <b/>
        <sz val="9"/>
        <rFont val="Calibri"/>
        <family val="2"/>
        <scheme val="minor"/>
      </rPr>
      <t>o</t>
    </r>
    <r>
      <rPr>
        <sz val="9"/>
        <rFont val="Calibri"/>
        <family val="2"/>
        <scheme val="minor"/>
      </rPr>
      <t>ssible.</t>
    </r>
  </si>
  <si>
    <t>Name of stratum ('U' for unstratified). Typically Unstratified but could be e.g. demersal landings and pelagic landings.</t>
  </si>
  <si>
    <t>Landing locode</t>
  </si>
  <si>
    <t>SAconversionFactorMeasLive</t>
  </si>
  <si>
    <t>SAconFacMeasLive</t>
  </si>
  <si>
    <t>The stratum of this sample, 'U' if unstratified. Name should be as concise and meaningful as possible.</t>
  </si>
  <si>
    <t>SAstateOfProcessing</t>
  </si>
  <si>
    <t>SAstateOfProc</t>
  </si>
  <si>
    <t>FMstateOfProcessing</t>
  </si>
  <si>
    <t>FMstateOfProc</t>
  </si>
  <si>
    <t>BVstateOfProcessing</t>
  </si>
  <si>
    <t>BVstateOfProc</t>
  </si>
  <si>
    <t xml:space="preserve">This overview will not be maintained with the new fields, but it is kept for its overview value </t>
  </si>
  <si>
    <t>BycatchMitigationDevice</t>
  </si>
  <si>
    <t>BycatchMitigationDeviceTarget</t>
  </si>
  <si>
    <t>Codes for dominant other mitigation devices: AttAcoustic, AttAltProf, AttExclDev, AttLight, unknown, None, etc.</t>
  </si>
  <si>
    <t>Registers the type of sampling performed. Codes: Visual (when observers screen the catch visually), Volume (when observers sample a volume, e.g., a box or basket) and Imagery (camera recordings). (before called: SamplingType)</t>
  </si>
  <si>
    <t xml:space="preserve">Registers the part of the fishing operation that was sampled. Conceptually, fishing operations are considered divided into a SLIPPING stage (Slip), DROP-OUT stage (Drop), a PRESORTING stage (Presort) and a SORTING stage (Sort), etc. Use "Sort" if samples come from landing events or trips sampled onshore. </t>
  </si>
  <si>
    <t>Slip, Drop, Presort, Sort, Other and NotRecorded</t>
  </si>
  <si>
    <t>The measurement type of the class needed for assessment e.g. total length, live weight, carapace length. If the measurement type is not needed for the assessment, the measurement type from the 'BVtypeMeas' should be repeated in the field. For length and weight for assessed species/stocks the BVtypeAssess could potentially be different from the BVtypeMeas, but for other measured types or not assessed species/stocks the BVtypeAssess should be the same as the BVtypeMeas and the conversion factor BVconFacAssess set to 1.</t>
  </si>
  <si>
    <t>Selection device. A selection device is defined as a square-meshed panel or window that is inserted into a towed net. All of codes relates to mitigation measures that reduce general by-catch of commercials fisheries, not specific measures for mitigation of incidental by-catch (compare with BycatchMitigationDevice).</t>
  </si>
  <si>
    <t xml:space="preserve">Dominant selectivity device. A selection device is defined as a square-meshed panel or window that is inserted into a towed net. </t>
  </si>
  <si>
    <t xml:space="preserve">Selectivity device. A selection device is defined as a square-meshed panel or window that is inserted into a towed net. If known, it is possible to declare a detailed, and more than one per sample, compared to the dominant information given in the Landing Event table.  </t>
  </si>
  <si>
    <t>Total time</t>
  </si>
  <si>
    <t>Sample time</t>
  </si>
  <si>
    <t>SStimeTotal</t>
  </si>
  <si>
    <t>SStimeSampled</t>
  </si>
  <si>
    <t>SStimeSamp</t>
  </si>
  <si>
    <t xml:space="preserve">Name of stratum ('U' for unstratified). Name should be as concise and meaningful as possible. (e.g. poor visibility, good visibility, fish spp, cefalopods spp, etc.) </t>
  </si>
  <si>
    <t>Total time of activity in minutes.</t>
  </si>
  <si>
    <t>Sampled/observed time of activity in minutes.</t>
  </si>
  <si>
    <t>In mm. The mesh size of a square-meshed panel or window shall mean the smallest determinable mesh size of such a panel or window and if there are two.</t>
  </si>
  <si>
    <t xml:space="preserve">In mm. The mesh size of a square-meshed panel or window shall mean the smallest determinable mesh size of such a panel or window.  If known, it is possible to declare a detailed, and more than one per sample, compared to the dominant information given in the Landing Event table.  </t>
  </si>
  <si>
    <t>CatchRegistration</t>
  </si>
  <si>
    <t>SamplingScheme //vocab.ices.dk/?ref=1664</t>
  </si>
  <si>
    <t>SamplingSchemeType //vocab.ices.dk/?ref=1665</t>
  </si>
  <si>
    <t>YesNoFields //vocab.ices.dk/?ref=316</t>
  </si>
  <si>
    <t>RDBESUpperHierarchy //vocab.ices.dk/?ref=1627</t>
  </si>
  <si>
    <t>ReasonForNotSampling //vocab.ices.dk/?ref=1641</t>
  </si>
  <si>
    <t>TimeUnit //vocab.ices.dk/?ref=1650</t>
  </si>
  <si>
    <t>Clustering //vocab.ices.dk/?ref=1603</t>
  </si>
  <si>
    <t>Sampler //vocab.ices.dk/?ref=1639</t>
  </si>
  <si>
    <t>SelectionMethod //vocab.ices.dk/?ref=1637</t>
  </si>
  <si>
    <t>Harbour_LOCODE //vocab.ices.dk/?ref=1652</t>
  </si>
  <si>
    <t>LocationType //vocab.ices.dk/?ref=1599</t>
  </si>
  <si>
    <t>ISO_3166 //vocab.ices.dk/?ref=337</t>
  </si>
  <si>
    <t>EDMO //vocab.ices.dk/?ref=1398</t>
  </si>
  <si>
    <t>SamplingContext //vocab.ices.dk/?ref=1667</t>
  </si>
  <si>
    <t>AggregationLevel //vocab.ices.dk/?ref=1607</t>
  </si>
  <si>
    <t>ValidityFlag //vocab.ices.dk/?ref=1722</t>
  </si>
  <si>
    <t>CatchRegistration //vocab.ices.dk/?ref=1604</t>
  </si>
  <si>
    <t>ICES_Area //vocab.ices.dk/?ref=358</t>
  </si>
  <si>
    <t>StatRec //vocab.ices.dk/?ref=107</t>
  </si>
  <si>
    <t>Areas_GFCM_GSA //vocab.ices.dk/?ref=1517</t>
  </si>
  <si>
    <t>JurisdictionArea //vocab.ices.dk/?ref=1662</t>
  </si>
  <si>
    <t>NationalFishingActivity //vocab.ices.dk/?ref=1614</t>
  </si>
  <si>
    <t>Metier5_FishingActivity //vocab.ices.dk/?ref=1651</t>
  </si>
  <si>
    <t>Metier6_FishingActivity //vocab.ices.dk/?ref=1647</t>
  </si>
  <si>
    <t>GearType //vocab.ices.dk/?ref=1653</t>
  </si>
  <si>
    <t>SelectionDevice //vocab.ices.dk/?ref=1638</t>
  </si>
  <si>
    <t>TargetSpecies //vocab.ices.dk/?ref=1661</t>
  </si>
  <si>
    <t>BycatchMitigationDevice //vocab.ices.dk/?ref=1680</t>
  </si>
  <si>
    <t>BycatchMitigationDeviceTarget //vocab.ices.dk/?ref=1695</t>
  </si>
  <si>
    <t>ObservationCode //vocab.ices.dk/?ref=1630</t>
  </si>
  <si>
    <t>ObservationActivityType //vocab.ices.dk/?ref=1629</t>
  </si>
  <si>
    <t>CatchFraction //vocab.ices.dk/?ref=1611</t>
  </si>
  <si>
    <t>ObservationMethod //vocab.ices.dk/?ref=1628</t>
  </si>
  <si>
    <t>SamplingUnit //vocab.ices.dk/?ref=1634</t>
  </si>
  <si>
    <t>LowerHierarchy //vocab.ices.dk/?ref=1598</t>
  </si>
  <si>
    <t>SpecWoRMS //vocab.ices.dk/?ref=365</t>
  </si>
  <si>
    <t>SpecASFIS //vocab.ices.dk/?ref=1534</t>
  </si>
  <si>
    <t>StateOfProcessing  //vocab.ices.dk/?ref=1681</t>
  </si>
  <si>
    <t>ProductPresentation //vocab.ices.dk/?ref=1642</t>
  </si>
  <si>
    <t>SpecimensState //vocab.ices.dk/?ref=1668</t>
  </si>
  <si>
    <t>CatchCategory //vocab.ices.dk/?ref=1610</t>
  </si>
  <si>
    <t>LandingCategory //vocab.ices.dk/?ref=1609</t>
  </si>
  <si>
    <t>CommercialSizeCategory //vocab.ices.dk/?ref=1623</t>
  </si>
  <si>
    <t>CommercialSizeCategoryScale //vocab.ices.dk/?ref=1624</t>
  </si>
  <si>
    <t>SEXCO //vocab.ices.dk/?ref=45</t>
  </si>
  <si>
    <t>StateOfProcessing //vocab.ices.dk/?ref=1681</t>
  </si>
  <si>
    <t>BiologicalMeasurementType //vocab.ices.dk/?ref=1606</t>
  </si>
  <si>
    <t>SampleType //vocab.ices.dk/?ref=1507</t>
  </si>
  <si>
    <t>METOA //vocab.ices.dk/?ref=173</t>
  </si>
  <si>
    <t>AccuracyCode //vocab.ices.dk/?ref=1608</t>
  </si>
  <si>
    <t>ValueUnitOrScale //vocab.ices.dk/?ref=1625</t>
  </si>
  <si>
    <t>MeasurementCertainty //vocab.ices.dk/?ref=1682</t>
  </si>
  <si>
    <t>Indicating if the sampling is done 'At-Sea' or 'On-Shore'</t>
  </si>
  <si>
    <t>Year 
//vocab.ices.dk/?ref=362</t>
  </si>
  <si>
    <t>Sampling location type e.g. Port, AuctionHall, Market, FactoryShip.</t>
  </si>
  <si>
    <t>ProductPresentation 
//vocab.ices.dk/?ref=1642</t>
  </si>
  <si>
    <t>Sampler 
//vocab.ices.dk/?ref=1639</t>
  </si>
  <si>
    <t xml:space="preserve">Data collected by e.g.: Control, Imagery, Observer, Selfsampling. </t>
  </si>
  <si>
    <t>Decimal(16)</t>
  </si>
  <si>
    <t>Decimal(6)</t>
  </si>
  <si>
    <t>-180.000000 - 180.000000</t>
  </si>
  <si>
    <t>-90.000000 - 90.000000</t>
  </si>
  <si>
    <t>Decimal(2)</t>
  </si>
  <si>
    <t>0.01 - 99999</t>
  </si>
  <si>
    <t>Decimal(1)</t>
  </si>
  <si>
    <t>0.1 - 999 999 999</t>
  </si>
  <si>
    <t>Decimal(3)</t>
  </si>
  <si>
    <t>0.900 - 10</t>
  </si>
  <si>
    <t>decimal(4)</t>
  </si>
  <si>
    <t>0.1001 - 10</t>
  </si>
  <si>
    <t>0.01 - 9 999 999</t>
  </si>
  <si>
    <t>0.001 - 1</t>
  </si>
  <si>
    <t>0 - 1</t>
  </si>
  <si>
    <t>The conversion factor needed for the conversion from the measured type to the assessment type. If no conversion then set it to 1.</t>
  </si>
  <si>
    <t>The unit or scale of the measured value in the biovarValue, e.g. Year/mm/g/maturity scale/winter rings. (For Berried use 'NotApplicable')</t>
  </si>
  <si>
    <t>SAreasonNotSampled</t>
  </si>
  <si>
    <t>SAnoSampReason</t>
  </si>
  <si>
    <t xml:space="preserve">Data collected by. E.g Selfsampling, Observer, Control, Imagery. In the future potential combinations of e.g. observer and EM. </t>
  </si>
  <si>
    <t>Non-response collected at this level</t>
  </si>
  <si>
    <t>Indicate whether non-responses were recorded at this sampling level.</t>
  </si>
  <si>
    <t>DV,O</t>
  </si>
  <si>
    <t>TEnonResponseCollected</t>
  </si>
  <si>
    <t>LOnonResponseCollected</t>
  </si>
  <si>
    <t>VSnonResponseCollected</t>
  </si>
  <si>
    <t>FTnonResponseCollected</t>
  </si>
  <si>
    <t>FOnonResponseCollected</t>
  </si>
  <si>
    <t>OSnonResponseCollected</t>
  </si>
  <si>
    <t>LEnonResponseCollected</t>
  </si>
  <si>
    <t>SSnonResponseCollected</t>
  </si>
  <si>
    <t>SAnonResponseCollected</t>
  </si>
  <si>
    <t>SAnonRespCol</t>
  </si>
  <si>
    <t>SSnonRespCol</t>
  </si>
  <si>
    <t>LEnonRespCol</t>
  </si>
  <si>
    <t>OSnonRespCol</t>
  </si>
  <si>
    <t>FOnonRespCol</t>
  </si>
  <si>
    <t>FTnonRespCol</t>
  </si>
  <si>
    <t>VSnonRespCol</t>
  </si>
  <si>
    <t>LOnonRespCol</t>
  </si>
  <si>
    <t>TEnonRespCol</t>
  </si>
  <si>
    <t>Auxiliary Variable Total</t>
  </si>
  <si>
    <t>The total value of auxiliary variable in the stratum (to be used in, e.g., ratio estimation). Auxiliary variables are 'extra' variables measured in association with the desired variable that might be used to increase precision of the estimate.</t>
  </si>
  <si>
    <t>The total value of auxiliary variable in the stratum</t>
  </si>
  <si>
    <t>Auxiliary Variable Value</t>
  </si>
  <si>
    <t>The value of auxiliary variable in the sampled unit. Auxiliary variables are 'extra' variables measured in association with the desired variable that might be used to increase precision of the estimate.</t>
  </si>
  <si>
    <t>The value of auxiliary variable in the sampled unit.</t>
  </si>
  <si>
    <t>Auxiliary Variable Name</t>
  </si>
  <si>
    <t> Code list</t>
  </si>
  <si>
    <r>
      <t> </t>
    </r>
    <r>
      <rPr>
        <sz val="11"/>
        <color theme="1"/>
        <rFont val="Calibri"/>
        <family val="2"/>
        <scheme val="minor"/>
      </rPr>
      <t>AuxiliaryVariableName</t>
    </r>
  </si>
  <si>
    <t>The name of the auxiliary variable. Auxiliary variables are 'extra' variables measured in association with the desired variable that might be used to increase precision of the estimate.</t>
  </si>
  <si>
    <t>Name of the auxiliary variable</t>
  </si>
  <si>
    <t xml:space="preserve">Auxiliary Variable Unit </t>
  </si>
  <si>
    <t xml:space="preserve">Auxiliary variable unit </t>
  </si>
  <si>
    <t>MUNIT 
http://vocab.ices.dk/?codetypeguid=c6aa874e-7477-43e4-af10-547f83b8779f</t>
  </si>
  <si>
    <t>Auxiliary variable measurement unit (e.g. %, hour, kg)</t>
  </si>
  <si>
    <t>DEnonResponseCollected</t>
  </si>
  <si>
    <t>DEauxiliaryVariableTotal</t>
  </si>
  <si>
    <t>DEauxiliaryVariableValue</t>
  </si>
  <si>
    <t>DEauxiliaryVariableName</t>
  </si>
  <si>
    <t>DEauxiliaryVariableUnit</t>
  </si>
  <si>
    <t>DEauxVarUnit</t>
  </si>
  <si>
    <t>DEauxVarName</t>
  </si>
  <si>
    <t>DEauxVarValue</t>
  </si>
  <si>
    <t>DEauxVarTot</t>
  </si>
  <si>
    <t>TEauxiliaryVariableTotal</t>
  </si>
  <si>
    <t>TEauxVarTot</t>
  </si>
  <si>
    <t>TEauxiliaryVariableValue</t>
  </si>
  <si>
    <t>TEauxVarValue</t>
  </si>
  <si>
    <t>TEauxiliaryVariableName</t>
  </si>
  <si>
    <t>TEauxVarName</t>
  </si>
  <si>
    <t>TEauxiliaryVariableUnit</t>
  </si>
  <si>
    <t>TEauxVarUnit</t>
  </si>
  <si>
    <t>LOauxiliaryVariableTotal</t>
  </si>
  <si>
    <t>LOauxVarTot</t>
  </si>
  <si>
    <t>LOauxiliaryVariableValue</t>
  </si>
  <si>
    <t>LOauxVarValue</t>
  </si>
  <si>
    <t>LOauxiliaryVariableName</t>
  </si>
  <si>
    <t>LOauxVarName</t>
  </si>
  <si>
    <t>LOauxiliaryVariableUnit</t>
  </si>
  <si>
    <t>LOauxVarUnit</t>
  </si>
  <si>
    <t>VSauxiliaryVariableTotal</t>
  </si>
  <si>
    <t>VSauxVarTot</t>
  </si>
  <si>
    <t>VSauxiliaryVariableValue</t>
  </si>
  <si>
    <t>VSauxVarValue</t>
  </si>
  <si>
    <t>VSauxiliaryVariableName</t>
  </si>
  <si>
    <t>VSauxVarName</t>
  </si>
  <si>
    <t>VSauxiliaryVariableUnit</t>
  </si>
  <si>
    <t>VSauxVarUnit</t>
  </si>
  <si>
    <t>FTauxiliaryVariableTotal</t>
  </si>
  <si>
    <t>FTauxVarTot</t>
  </si>
  <si>
    <t>FTauxiliaryVariableValue</t>
  </si>
  <si>
    <t>FTauxVarValue</t>
  </si>
  <si>
    <t>FTauxiliaryVariableName</t>
  </si>
  <si>
    <t>FTauxVarName</t>
  </si>
  <si>
    <t>FTauxiliaryVariableUnit</t>
  </si>
  <si>
    <t>FTauxVarUnit</t>
  </si>
  <si>
    <t>FOauxiliaryVariableTotal</t>
  </si>
  <si>
    <t>FOauxVarTot</t>
  </si>
  <si>
    <t>FOauxiliaryVariableValue</t>
  </si>
  <si>
    <t>FOauxVarValue</t>
  </si>
  <si>
    <t>FOauxiliaryVariableName</t>
  </si>
  <si>
    <t>FOauxVarName</t>
  </si>
  <si>
    <t>FOauxiliaryVariableUnit</t>
  </si>
  <si>
    <t>FOauxVarUnit</t>
  </si>
  <si>
    <t>OSauxiliaryVariableTotal</t>
  </si>
  <si>
    <t>OSauxVarTot</t>
  </si>
  <si>
    <t>OSauxiliaryVariableValue</t>
  </si>
  <si>
    <t>OSauxVarValue</t>
  </si>
  <si>
    <t>OSauxiliaryVariableName</t>
  </si>
  <si>
    <t>OSauxVarName</t>
  </si>
  <si>
    <t>OSauxiliaryVariableUnit</t>
  </si>
  <si>
    <t>OSauxVarUnit</t>
  </si>
  <si>
    <t>LEauxiliaryVariableTotal</t>
  </si>
  <si>
    <t>LEauxVarTot</t>
  </si>
  <si>
    <t>LEauxiliaryVariableValue</t>
  </si>
  <si>
    <t>LEauxVarValue</t>
  </si>
  <si>
    <t>LEauxiliaryVariableName</t>
  </si>
  <si>
    <t>LEauxVarName</t>
  </si>
  <si>
    <t>LEauxiliaryVariableUnit</t>
  </si>
  <si>
    <t>LEauxVarUnit</t>
  </si>
  <si>
    <t>SSauxiliaryVariableTotal</t>
  </si>
  <si>
    <t>SSauxVarTot</t>
  </si>
  <si>
    <t>SSauxiliaryVariableValue</t>
  </si>
  <si>
    <t>SSauxVarValue</t>
  </si>
  <si>
    <t>SSauxiliaryVariableName</t>
  </si>
  <si>
    <t>SSauxVarName</t>
  </si>
  <si>
    <t>SSauxiliaryVariableUnit</t>
  </si>
  <si>
    <t>SSauxVarUnit</t>
  </si>
  <si>
    <t>SAauxiliaryVariableTotal</t>
  </si>
  <si>
    <t>SAauxVarTot</t>
  </si>
  <si>
    <t>SAauxiliaryVariableValue</t>
  </si>
  <si>
    <t>SAauxVarValue</t>
  </si>
  <si>
    <t>SAauxiliaryVariableName</t>
  </si>
  <si>
    <t>SAauxVarName</t>
  </si>
  <si>
    <t>SAauxiliaryVariableUnit</t>
  </si>
  <si>
    <t>SAauxVarUnit</t>
  </si>
  <si>
    <t xml:space="preserve">Method for measurement or biological sample type, e.g. 'df-ray'  for Dorsal fin ray, 'otolith', 'scale', etc. </t>
  </si>
  <si>
    <t>Fisheries management unit</t>
  </si>
  <si>
    <t>FOfisheriesManagementUnit</t>
  </si>
  <si>
    <t>FOfishManUnit</t>
  </si>
  <si>
    <t>LEfisheriesManagementUnit</t>
  </si>
  <si>
    <t>LEfishManUnit</t>
  </si>
  <si>
    <t>SAfisheriesManagementUnit</t>
  </si>
  <si>
    <t>SAfishManUnit</t>
  </si>
  <si>
    <t>AreaNonFAO</t>
  </si>
  <si>
    <t>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</si>
  <si>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Fisheries management unit codes are used when stocks need further refine, e.g. Redfish stocks below and above 500 m depth, Norwegian costal cod 12 mile from coastline.</t>
  </si>
  <si>
    <t>Dominant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</si>
  <si>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Dominant Fisheries management unit codes are used when stocks need further refine, e.g. Redfish stocks below and above 500 m depth, Norwegian costal cod 12 mile from coastline.</t>
  </si>
  <si>
    <t>If aggregationlevel is over all hauls/aggregationlevel= Trip, then use Dominant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</si>
  <si>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If aggregationlevel is over all hauls/aggregationlevel= Trip, then use dominant Fisheries management unit codes are used when stocks need further refine, e.g. Redfish stocks below and above 500 m depth, Norwegian costal cod 12 mile from coastline.</t>
  </si>
  <si>
    <t>EEZI
https://vocab.ices.dk/?CodeTypeRelID=1621&amp;CodeID=249075</t>
  </si>
  <si>
    <t>Indicate if the stratum was sampled: Yes/No. If "No" then no records are expected after the "Sampling Details" record.</t>
  </si>
  <si>
    <r>
      <t> </t>
    </r>
    <r>
      <rPr>
        <sz val="11"/>
        <rFont val="Calibri"/>
        <family val="2"/>
        <scheme val="minor"/>
      </rPr>
      <t>AuxiliaryVariableName</t>
    </r>
  </si>
  <si>
    <t>If aggregationlevel is over all hauls/aggregationlevel= Trip, then use dominant area level 3, if  aggregationlevel= haul then use area level 3 (level 4 for Baltic, Mediterranean, and Black Seas) in the Data Collection Regulation (EC, 2008a, 2008b). Use the stat. rect./area, where most fishing is done, if in doubt use the stat. rect/area where the fishing ends. If both the stat. rect and area, then they should be consistent.</t>
  </si>
  <si>
    <t>If aggregationlevel is over all hauls/aggregationlevel= Trip, then use dominant area level 5, if  aggregationlevel= haul then use area level 5 in the Data Collection Regulation (EC, 2008a, 2008b). This is the ICES statistical rectangles (e.g. 41G9) except for the Mediterranean and Black Seas, where GFCM geographical subareas (GSAs) are used, in such case use '-9'. Use the stat. rect., where most fishing is done, if in doubt use the stat. rect/area where the fishing ends. If both the stat. rect and area, then they should be consistent.</t>
  </si>
  <si>
    <t>Dominant landing date</t>
  </si>
  <si>
    <t>FTdominantLandingDate</t>
  </si>
  <si>
    <t>FTdomLanDate</t>
  </si>
  <si>
    <t>YYYY-MM-DD</t>
  </si>
  <si>
    <t>Fishing duration data basis</t>
  </si>
  <si>
    <t>DataSource
//vocab.ices.dk/?ref=1768</t>
  </si>
  <si>
    <t>DataBasis
//vocab.ices.dk/?ref=1767</t>
  </si>
  <si>
    <t>Geographical data basis</t>
  </si>
  <si>
    <t>FOgeographicalDataBasis</t>
  </si>
  <si>
    <t>FOgeoDatBas</t>
  </si>
  <si>
    <t>Geographical Source</t>
  </si>
  <si>
    <t>FOgeographicalSource</t>
  </si>
  <si>
    <t>FOgeoSou</t>
  </si>
  <si>
    <t>Gear data basis</t>
  </si>
  <si>
    <t>FOgearDataBasis</t>
  </si>
  <si>
    <t>FOgeaDatBas</t>
  </si>
  <si>
    <t>Gear Source</t>
  </si>
  <si>
    <t>FOgearSource</t>
  </si>
  <si>
    <t>LEgearSou</t>
  </si>
  <si>
    <t>LEgeographicalDataBasis</t>
  </si>
  <si>
    <t>LEgeoDatBas</t>
  </si>
  <si>
    <t>LEgeographicalSource</t>
  </si>
  <si>
    <t>LEgeoSou</t>
  </si>
  <si>
    <t>LEgearDataBasis</t>
  </si>
  <si>
    <t>LEgeaDatBas</t>
  </si>
  <si>
    <t>LEgearSource</t>
  </si>
  <si>
    <t>SAgeographicalDataBasis</t>
  </si>
  <si>
    <t>SAgeoDatBas</t>
  </si>
  <si>
    <t>SAgeographicalSource</t>
  </si>
  <si>
    <t>SAgeoSou</t>
  </si>
  <si>
    <t>SAgearDataBasis</t>
  </si>
  <si>
    <t>SAgeaDatBas</t>
  </si>
  <si>
    <t>SAgearSource</t>
  </si>
  <si>
    <t>SAgearSou</t>
  </si>
  <si>
    <t>Total Weight Measured data basis</t>
  </si>
  <si>
    <t>SAtotalWeightMeasuredDataBasis</t>
  </si>
  <si>
    <t>SAtotWtMeaDatBas</t>
  </si>
  <si>
    <t>Gear data are determined from: “Official”, "Estimated" or "Measured" data. The more detailed source is specified in the related source field.</t>
  </si>
  <si>
    <t>SStimeTotalDataBasis</t>
  </si>
  <si>
    <t>SStimeTotalDatBas</t>
  </si>
  <si>
    <t>SSnumberTotalDataBasis</t>
  </si>
  <si>
    <t>SSnumTotalDatBas</t>
  </si>
  <si>
    <t>Total number species data basis</t>
  </si>
  <si>
    <t>Specimen Type</t>
  </si>
  <si>
    <t>BVspecimenType</t>
  </si>
  <si>
    <t>BVspecType</t>
  </si>
  <si>
    <t>Analysis type</t>
  </si>
  <si>
    <t>BVanalysisType</t>
  </si>
  <si>
    <t>Dominant landing date, if several landings took place.</t>
  </si>
  <si>
    <t>Fishing duration data are determined from: “Official”, "Estimated", "Measured", "NotKnown" or "NotApplicable" data. The more detailed source is specified in the related source field.</t>
  </si>
  <si>
    <t>Geographical data are determined from allowed codes: 'Official', 'Estimated', 'Measured', 'NotKnown' or 'NotApplicable' data. The more detailed source is specified in the related source field.</t>
  </si>
  <si>
    <t>Gear data are determined from allowed codes: 'Official', 'Estimated', 'Measured', 'NotKnown' or 'NotApplicable' data. The more detailed source is specified in the related source field.</t>
  </si>
  <si>
    <t>Total time data basis</t>
  </si>
  <si>
    <t>Data basis of the Time total are specified, using the codes: 'Official', 'Estimated', 'Measured', 'NotKnown' or 'NotApplicable'.</t>
  </si>
  <si>
    <t>Data basis of the Total number species are specified, using the codes: 'Official', 'Estimated', 'Measured', 'NotKnown' or 'NotApplicable'.</t>
  </si>
  <si>
    <t>FOfishingDurationDataBasis</t>
  </si>
  <si>
    <t>LOlocationName</t>
  </si>
  <si>
    <t>LElocationName</t>
  </si>
  <si>
    <t>OSlocationName</t>
  </si>
  <si>
    <t>YesNoExtensions
//vocab.ices.dk/?ref=1721</t>
  </si>
  <si>
    <t xml:space="preserve">Independent Duration recorded by independent staff deployed onboard (observers, control). </t>
  </si>
  <si>
    <t>In Minutes. Time spent handling the gear. Measured as: end of FO to the completion of catch removal from the gear (in active gears), time spent checking the gear (in passive gears). When DurationDataBasis is  “Estimated”, Allowed codes are: "Exprt", "Crew", "Observer", "NotApplicable"  When DurationDataBasis is  “Measured”, allowed codes are:  "Crew" and "Observer". Report “Unknown” and “Not Applicable” when DataBasisOfStatisticalRectangle is “Unknown” and “Not Applicable” respectively.</t>
  </si>
  <si>
    <t>The source of the geographical data.</t>
  </si>
  <si>
    <t>The source of the geographical data. The source of the geographical data. When GeographicalDataBasis is  “Official”, allowed codes are:  "Logb", "SalN", "PosDat", "VMS", "NotApplicable".  When GeographicalDataBasis is  “Estimated”, allowed codes are:"HarbLoc", "PosDat", "Crew", "Observer", "Exprt", "CombOD", "NotApplicable". When  GeographicalDataBasis is  “Measured”, allowed codes are: "Crew", "Observer", Report “Unknown” and “Not Applicable” when GeographicalDataBasis is “Unknown” and “Not Applicable” respectively.</t>
  </si>
  <si>
    <t>Total Weight measured. Data are determined from: “Official”, "Estimated" or "Measured" data.</t>
  </si>
  <si>
    <t>The source of the geographical data. When GeographicalDataBasis is  “Official”, allowed codes are:  "Logb" (Logbook), "SalN" (Sales Notes), "PosDat" (Positional Data), "VMS", "NotApplicable".  When GeographicalDataBasis is  “Estimated”, allowed codes are:"HarbLoc" (Harbor Location), "PosDat", "Crew", "Observer", "Exprt" (Expert Judgement), "CombOD" (Combination of official data), "NotApplicable". When  GeographicalDataBasis is  “Measured”, allowed codes are: "Crew", "Observer", Report “Unknown” and “Not Applicable” when GeographicalDataBasis is “Unknown” and “Not Applicable” respectively.</t>
  </si>
  <si>
    <t>The source of the gear data.  When GearDataBasis is  “Official”, allowed codes are: "Logb" (Logbook), "CombOD" (Combination of official data sources), "ΟthDF" (Other declarative forms), "NotApplicable".  When GearDataBasis is  “Estimated”, allowed codes are:"SampDS" (Survey Data), "SampDC" )Commercial sampling data), "Exprt" (Expert Evaluation), "CombOD", "Crew", "Observer", "NotApplicable". When  GearDataBasis is  “Measured”, allowed codes are: "Crew", "Observer", Report “Unknown” and “Not Applicable” when GearDataBasis is “Unknown” and “Not Applicable” respectively.</t>
  </si>
  <si>
    <t>Independent Duration recorded by independent staff deployed onboard (observers, control). When DurationDataBasis is  “Official”, allowed codes are "Logb" "CombOD" , "OthDF". When DurationDataBasis is  “Estimated”, allowed codes are: "Exprt", "Crew", "Observer", "NotApplicable"  When DurationDataBasis is  “Measured”, allowed codes are:  "Crew" and "Observer". Report “Unknown” and “Not Applicable” when DataBasisOfStatisticalRectangle is “Unknown” and “Not Applicable” respectively.</t>
  </si>
  <si>
    <t>FOdurSou</t>
  </si>
  <si>
    <t>FOfishDurDatBas</t>
  </si>
  <si>
    <t>FOgeaSou</t>
  </si>
  <si>
    <t>E.g. Age/ Stock (for stock spliting)/Total length/tail length/head length/folk length/ Weight live/Weight gutted/Weight headless/ Maturity/Sex/SpecimentState/Berried/GeneticPopulation.</t>
  </si>
  <si>
    <t>Measured value of the Biological variable. (Age should be used, not year of birth. For Berried use 'Y' for yes or 'N' for no. For GeneticPopulation use e.g. 'her-000' or 'her-001'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</si>
</sst>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9"/>
      <color theme="1"/>
      <name val="Calibri"/>
      <family val="2"/>
      <scheme val="minor"/>
    </font>
    <font>
      <sz val="9"/>
      <color theme="1"/>
      <name val="Calibri"/>
      <family val="2"/>
      <scheme val="minor"/>
    </font>
    <font>
      <b/>
      <sz val="12"/>
      <color theme="1"/>
      <name val="Calibri"/>
      <family val="2"/>
      <scheme val="minor"/>
    </font>
    <font>
      <sz val="9"/>
      <name val="Calibri"/>
      <family val="2"/>
      <scheme val="minor"/>
    </font>
    <font>
      <sz val="11"/>
      <color rgb="FFFF0000"/>
      <name val="Calibri"/>
      <family val="2"/>
      <scheme val="minor"/>
    </font>
    <font>
      <sz val="11"/>
      <name val="Calibri"/>
      <family val="2"/>
      <scheme val="minor"/>
    </font>
    <font>
      <b/>
      <sz val="12"/>
      <name val="Calibri"/>
      <family val="2"/>
      <scheme val="minor"/>
    </font>
    <font>
      <sz val="9"/>
      <color rgb="FFFF0000"/>
      <name val="Calibri"/>
      <family val="2"/>
      <scheme val="minor"/>
    </font>
    <font>
      <strike/>
      <sz val="9"/>
      <color theme="1"/>
      <name val="Calibri"/>
      <family val="2"/>
      <scheme val="minor"/>
    </font>
    <font>
      <strike/>
      <sz val="11"/>
      <color theme="1"/>
      <name val="Calibri"/>
      <family val="2"/>
      <scheme val="minor"/>
    </font>
    <font>
      <strike/>
      <sz val="9"/>
      <name val="Calibri"/>
      <family val="2"/>
      <scheme val="minor"/>
    </font>
    <font>
      <sz val="9"/>
      <color theme="1"/>
      <name val="Calibri Light"/>
      <family val="2"/>
    </font>
    <font>
      <sz val="9"/>
      <color theme="1"/>
      <name val="Calibri"/>
      <family val="2"/>
    </font>
    <font>
      <b/>
      <sz val="9"/>
      <name val="Calibri"/>
      <family val="2"/>
      <scheme val="minor"/>
    </font>
    <font>
      <b/>
      <sz val="16"/>
      <color theme="1"/>
      <name val="Calibri"/>
      <family val="2"/>
      <scheme val="minor"/>
    </font>
    <font>
      <sz val="9"/>
      <color rgb="FF000000"/>
      <name val="Calibri"/>
      <family val="2"/>
      <scheme val="minor"/>
    </font>
    <font>
      <sz val="9"/>
      <name val="Calibri Light"/>
      <family val="2"/>
    </font>
  </fonts>
  <fills count="6">
    <fill>
      <patternFill patternType="none"/>
    </fill>
    <fill>
      <patternFill patternType="gray125"/>
    </fill>
    <fill>
      <patternFill patternType="solid">
        <fgColor rgb="FF92D05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2" fillId="0" borderId="1" xfId="0" applyFont="1" applyBorder="1" applyAlignment="1">
      <alignment horizontal="left" vertical="top" wrapText="1"/>
    </xf>
    <xf numFmtId="0" fontId="2" fillId="0" borderId="0" xfId="0" applyFont="1" applyAlignment="1">
      <alignment wrapText="1"/>
    </xf>
    <xf numFmtId="0" fontId="2" fillId="0" borderId="1" xfId="0" quotePrefix="1"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xf numFmtId="0" fontId="2" fillId="0" borderId="1" xfId="0" applyFont="1" applyBorder="1" applyAlignment="1">
      <alignment wrapText="1"/>
    </xf>
    <xf numFmtId="0" fontId="0" fillId="0" borderId="0" xfId="0" applyAlignment="1">
      <alignment wrapText="1"/>
    </xf>
    <xf numFmtId="0" fontId="1" fillId="0" borderId="0" xfId="0" applyFont="1" applyAlignment="1">
      <alignment horizontal="left" vertical="top" wrapText="1"/>
    </xf>
    <xf numFmtId="0" fontId="3" fillId="0" borderId="0" xfId="0" applyFont="1"/>
    <xf numFmtId="0" fontId="3" fillId="0" borderId="1" xfId="0" applyFont="1" applyBorder="1"/>
    <xf numFmtId="0" fontId="3" fillId="2" borderId="1" xfId="0" applyFont="1" applyFill="1" applyBorder="1"/>
    <xf numFmtId="0" fontId="3" fillId="2" borderId="2" xfId="0" applyFont="1" applyFill="1" applyBorder="1"/>
    <xf numFmtId="0" fontId="5" fillId="0" borderId="0" xfId="0" applyFont="1"/>
    <xf numFmtId="0" fontId="1" fillId="3" borderId="1" xfId="0" applyFont="1" applyFill="1" applyBorder="1"/>
    <xf numFmtId="0" fontId="1" fillId="3" borderId="1" xfId="0" applyFont="1" applyFill="1" applyBorder="1" applyAlignment="1">
      <alignment wrapText="1"/>
    </xf>
    <xf numFmtId="0" fontId="2" fillId="4" borderId="1" xfId="0" applyFont="1" applyFill="1" applyBorder="1" applyAlignment="1">
      <alignment wrapText="1"/>
    </xf>
    <xf numFmtId="0" fontId="2" fillId="4" borderId="1" xfId="0" applyFont="1" applyFill="1" applyBorder="1" applyAlignment="1">
      <alignment horizontal="left" vertical="top" wrapText="1"/>
    </xf>
    <xf numFmtId="0" fontId="2" fillId="0" borderId="0" xfId="0" applyFont="1"/>
    <xf numFmtId="0" fontId="0" fillId="0" borderId="1" xfId="0" applyBorder="1"/>
    <xf numFmtId="0" fontId="4" fillId="0" borderId="1" xfId="0" applyFont="1" applyBorder="1"/>
    <xf numFmtId="0" fontId="4" fillId="0" borderId="1" xfId="0" applyFont="1" applyBorder="1" applyAlignment="1">
      <alignment wrapText="1"/>
    </xf>
    <xf numFmtId="0" fontId="3" fillId="0" borderId="1" xfId="0" applyFont="1" applyBorder="1" applyAlignment="1">
      <alignment wrapText="1"/>
    </xf>
    <xf numFmtId="0" fontId="6" fillId="0" borderId="0" xfId="0" applyFont="1"/>
    <xf numFmtId="0" fontId="7" fillId="2" borderId="1" xfId="0" applyFont="1" applyFill="1" applyBorder="1"/>
    <xf numFmtId="0" fontId="1" fillId="0" borderId="1" xfId="0" applyFont="1" applyBorder="1"/>
    <xf numFmtId="0" fontId="1" fillId="0" borderId="1" xfId="0" applyFont="1" applyBorder="1" applyAlignment="1">
      <alignment wrapText="1"/>
    </xf>
    <xf numFmtId="0" fontId="8" fillId="0" borderId="1" xfId="0" applyFont="1" applyBorder="1" applyAlignment="1">
      <alignment wrapText="1"/>
    </xf>
    <xf numFmtId="0" fontId="10" fillId="0" borderId="0" xfId="0" applyFont="1"/>
    <xf numFmtId="0" fontId="4" fillId="0" borderId="1" xfId="0" applyFont="1" applyBorder="1" applyAlignment="1">
      <alignment vertical="top" wrapText="1"/>
    </xf>
    <xf numFmtId="0" fontId="6" fillId="0" borderId="1" xfId="0" applyFont="1" applyBorder="1"/>
    <xf numFmtId="0" fontId="4" fillId="0" borderId="3" xfId="0" applyFont="1" applyBorder="1" applyAlignment="1">
      <alignment wrapText="1"/>
    </xf>
    <xf numFmtId="0" fontId="4" fillId="0" borderId="0" xfId="0" applyFont="1" applyAlignment="1">
      <alignment wrapText="1"/>
    </xf>
    <xf numFmtId="0" fontId="4" fillId="0" borderId="3" xfId="0" applyFont="1" applyBorder="1"/>
    <xf numFmtId="0" fontId="2" fillId="4" borderId="1" xfId="0" applyFont="1" applyFill="1" applyBorder="1" applyAlignment="1">
      <alignment horizontal="left" vertical="top"/>
    </xf>
    <xf numFmtId="0" fontId="6" fillId="0" borderId="0" xfId="0" applyFont="1" applyAlignment="1">
      <alignment wrapText="1"/>
    </xf>
    <xf numFmtId="0" fontId="8" fillId="0" borderId="1" xfId="0" applyFont="1" applyBorder="1" applyAlignment="1">
      <alignment horizontal="left" vertical="top" wrapText="1"/>
    </xf>
    <xf numFmtId="0" fontId="8" fillId="0" borderId="0" xfId="0" applyFont="1" applyAlignment="1">
      <alignment wrapText="1"/>
    </xf>
    <xf numFmtId="0" fontId="8" fillId="0" borderId="0" xfId="0" applyFont="1" applyAlignment="1">
      <alignment horizontal="left" vertical="top" wrapText="1"/>
    </xf>
    <xf numFmtId="0" fontId="8" fillId="4" borderId="1" xfId="0" applyFont="1" applyFill="1" applyBorder="1" applyAlignment="1">
      <alignment horizontal="left" vertical="top" wrapText="1"/>
    </xf>
    <xf numFmtId="0" fontId="2" fillId="0" borderId="3" xfId="0" applyFont="1" applyBorder="1"/>
    <xf numFmtId="0" fontId="8" fillId="0" borderId="1" xfId="0" applyFont="1" applyBorder="1"/>
    <xf numFmtId="0" fontId="4" fillId="0" borderId="1" xfId="0" applyFont="1" applyBorder="1" applyAlignment="1">
      <alignment horizontal="left" wrapText="1"/>
    </xf>
    <xf numFmtId="0" fontId="15" fillId="5" borderId="0" xfId="0" applyFont="1" applyFill="1"/>
    <xf numFmtId="0" fontId="5" fillId="0" borderId="0" xfId="0" applyFont="1" applyAlignment="1">
      <alignment wrapText="1"/>
    </xf>
    <xf numFmtId="0" fontId="4" fillId="0" borderId="1" xfId="0" quotePrefix="1" applyFont="1" applyBorder="1" applyAlignment="1">
      <alignment wrapText="1"/>
    </xf>
    <xf numFmtId="0" fontId="16" fillId="0" borderId="1" xfId="0" applyFont="1" applyBorder="1" applyAlignment="1">
      <alignment wrapText="1"/>
    </xf>
    <xf numFmtId="0" fontId="4" fillId="0" borderId="4" xfId="0" applyFont="1" applyBorder="1" applyAlignment="1">
      <alignment wrapText="1"/>
    </xf>
    <xf numFmtId="0" fontId="4" fillId="0" borderId="4" xfId="0" applyFont="1" applyBorder="1"/>
    <xf numFmtId="0" fontId="4" fillId="0" borderId="5" xfId="0" applyFont="1" applyBorder="1" applyAlignment="1">
      <alignment wrapText="1"/>
    </xf>
    <xf numFmtId="0" fontId="4" fillId="0" borderId="5" xfId="0" applyFont="1" applyBorder="1"/>
    <xf numFmtId="0" fontId="2" fillId="0" borderId="3" xfId="0" applyFont="1" applyBorder="1" applyAlignment="1">
      <alignment wrapText="1"/>
    </xf>
    <xf numFmtId="49" fontId="4" fillId="0" borderId="1" xfId="0" applyNumberFormat="1" applyFont="1" applyBorder="1"/>
    <xf numFmtId="49" fontId="2" fillId="0" borderId="0" xfId="0" applyNumberFormat="1" applyFont="1"/>
    <xf numFmtId="0" fontId="17" fillId="0" borderId="1" xfId="0" applyFont="1" applyBorder="1" applyAlignment="1">
      <alignment vertical="center" wrapText="1"/>
    </xf>
    <xf numFmtId="0" fontId="2" fillId="0" borderId="1" xfId="0" applyFont="1" applyBorder="1" applyAlignment="1">
      <alignment vertical="top" wrapText="1"/>
    </xf>
    <xf numFmtId="0" fontId="2" fillId="0" borderId="1" xfId="0" quotePrefix="1" applyFont="1" applyBorder="1" applyAlignment="1">
      <alignment wrapText="1"/>
    </xf>
    <xf numFmtId="0" fontId="4" fillId="0" borderId="1" xfId="0" quotePrefix="1" applyFont="1" applyBorder="1" applyAlignment="1">
      <alignment vertical="top" wrapText="1"/>
    </xf>
    <xf numFmtId="0" fontId="12" fillId="0" borderId="1" xfId="0" applyFont="1" applyBorder="1" applyAlignment="1">
      <alignment vertical="center" wrapText="1"/>
    </xf>
    <xf numFmtId="0" fontId="13" fillId="0" borderId="0" xfId="0" applyFont="1" applyAlignment="1">
      <alignment vertical="center" wrapText="1"/>
    </xf>
    <xf numFmtId="0" fontId="11" fillId="0" borderId="1" xfId="0" applyFont="1" applyBorder="1" applyAlignment="1">
      <alignment wrapText="1"/>
    </xf>
    <xf numFmtId="0" fontId="11" fillId="0" borderId="1" xfId="0" applyFont="1" applyBorder="1"/>
    <xf numFmtId="0" fontId="14" fillId="0" borderId="1" xfId="0" applyFont="1" applyBorder="1"/>
    <xf numFmtId="0" fontId="14" fillId="0" borderId="1" xfId="0" applyFont="1"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2:AI112"/>
  <sheetViews>
    <sheetView showZeros="0" zoomScale="30" zoomScaleNormal="30" workbookViewId="0">
      <selection activeCell="N66" sqref="N66"/>
    </sheetView>
  </sheetViews>
  <sheetFormatPr defaultColWidth="9.21875" defaultRowHeight="15.6" x14ac:dyDescent="0.3"/>
  <cols>
    <col min="1" max="1" width="6.21875" style="9" customWidth="1"/>
    <col min="2" max="2" width="22.44140625" style="9" customWidth="1"/>
    <col min="3" max="3" width="38.21875" style="9" customWidth="1"/>
    <col min="4" max="4" width="5.44140625" style="9" customWidth="1"/>
    <col min="5" max="5" width="4.21875" style="9" customWidth="1"/>
    <col min="6" max="6" width="29.21875" style="9" customWidth="1"/>
    <col min="7" max="7" width="46.44140625" style="9" customWidth="1"/>
    <col min="8" max="8" width="6" style="9" customWidth="1"/>
    <col min="9" max="9" width="5.44140625" style="9" customWidth="1"/>
    <col min="10" max="10" width="23.44140625" style="9" customWidth="1"/>
    <col min="11" max="11" width="46.44140625" style="9" customWidth="1"/>
    <col min="12" max="12" width="4.21875" style="9" bestFit="1" customWidth="1"/>
    <col min="13" max="13" width="6" style="9" customWidth="1"/>
    <col min="14" max="14" width="25.44140625" style="9" customWidth="1"/>
    <col min="15" max="15" width="57.77734375" style="9" customWidth="1"/>
    <col min="16" max="16" width="4.21875" style="9" bestFit="1" customWidth="1"/>
    <col min="17" max="17" width="4.44140625" style="9" customWidth="1"/>
    <col min="18" max="18" width="24.77734375" style="9" customWidth="1"/>
    <col min="19" max="19" width="56.44140625" style="9" customWidth="1"/>
    <col min="20" max="20" width="7.44140625" style="9" customWidth="1"/>
    <col min="21" max="21" width="4.44140625" style="9" customWidth="1"/>
    <col min="22" max="22" width="28.77734375" style="9" customWidth="1"/>
    <col min="23" max="23" width="48.21875" style="9" customWidth="1"/>
    <col min="24" max="24" width="14" style="9" customWidth="1"/>
    <col min="25" max="25" width="5.21875" style="9" customWidth="1"/>
    <col min="26" max="26" width="22.21875" style="9" customWidth="1"/>
    <col min="27" max="27" width="45.21875" style="9" customWidth="1"/>
    <col min="28" max="28" width="5.44140625" style="9" customWidth="1"/>
    <col min="29" max="29" width="6.44140625" style="9" customWidth="1"/>
    <col min="30" max="30" width="25.77734375" style="9" customWidth="1"/>
    <col min="31" max="31" width="51.21875" style="9" customWidth="1"/>
    <col min="32" max="32" width="6.44140625" style="9" customWidth="1"/>
    <col min="33" max="33" width="5.44140625" style="9" customWidth="1"/>
    <col min="34" max="34" width="22.44140625" style="9" customWidth="1"/>
    <col min="35" max="35" width="51.44140625" style="9" customWidth="1"/>
    <col min="36" max="36" width="22.21875" style="9" bestFit="1" customWidth="1"/>
    <col min="37" max="37" width="34.21875" style="9" bestFit="1" customWidth="1"/>
    <col min="38" max="16384" width="9.21875" style="9"/>
  </cols>
  <sheetData>
    <row r="2" spans="1:35" ht="21" x14ac:dyDescent="0.4">
      <c r="B2" s="43" t="s">
        <v>1207</v>
      </c>
    </row>
    <row r="3" spans="1:35" x14ac:dyDescent="0.3">
      <c r="B3" s="11" t="s">
        <v>0</v>
      </c>
      <c r="C3" s="11"/>
      <c r="F3" s="11" t="s">
        <v>62</v>
      </c>
      <c r="G3" s="11"/>
      <c r="J3" s="24" t="s">
        <v>517</v>
      </c>
      <c r="K3" s="11"/>
      <c r="N3" s="12" t="s">
        <v>60</v>
      </c>
      <c r="O3" s="12"/>
      <c r="R3" s="11" t="s">
        <v>66</v>
      </c>
      <c r="S3" s="11"/>
      <c r="V3" s="11" t="s">
        <v>204</v>
      </c>
      <c r="W3" s="11"/>
      <c r="Z3" s="11" t="s">
        <v>202</v>
      </c>
      <c r="AA3" s="11"/>
      <c r="AD3" s="11" t="s">
        <v>233</v>
      </c>
      <c r="AE3" s="11"/>
      <c r="AH3" s="11" t="s">
        <v>203</v>
      </c>
      <c r="AI3" s="11"/>
    </row>
    <row r="4" spans="1:35" x14ac:dyDescent="0.3">
      <c r="A4" s="9" t="str">
        <f>IF(ISBLANK(Design!A2)=TRUE, Design!B2, "")</f>
        <v/>
      </c>
      <c r="B4" s="10" t="str">
        <f>IF(ISBLANK(Design!A2)=TRUE, Design!F2, "")</f>
        <v/>
      </c>
      <c r="C4" s="10" t="str">
        <f>IF(ISBLANK(Design!A2)=TRUE, Design!M2, "")</f>
        <v/>
      </c>
      <c r="E4" s="9" t="str">
        <f>IF(ISBLANK('Sampling Details'!A2)=TRUE, 'Sampling Details'!B2, "")</f>
        <v/>
      </c>
      <c r="F4" s="10" t="str">
        <f>IF(ISBLANK('Sampling Details'!A2)=TRUE, 'Sampling Details'!F2, "")</f>
        <v/>
      </c>
      <c r="G4" s="10" t="str">
        <f>IF(ISBLANK('Sampling Details'!A2)=TRUE, 'Sampling Details'!M2, "")</f>
        <v/>
      </c>
      <c r="I4" s="9" t="str">
        <f>IF(ISBLANK('Vessel Selection'!A2)=TRUE, 'Vessel Selection'!B2, "")</f>
        <v/>
      </c>
      <c r="J4" s="10" t="str">
        <f>IF(ISBLANK('Vessel Selection'!A2)=TRUE, 'Vessel Selection'!F2, "")</f>
        <v/>
      </c>
      <c r="K4" s="22" t="str">
        <f>IF(ISBLANK('Vessel Selection'!A2)=TRUE, 'Vessel Selection'!M2, "")</f>
        <v/>
      </c>
      <c r="N4" s="10" t="str">
        <f>IF(ISBLANK('Fishing Trip'!A2)=TRUE, 'Fishing Trip'!F2, "")</f>
        <v/>
      </c>
      <c r="O4" s="22" t="str">
        <f>IF(ISBLANK('Fishing Trip'!A2)=TRUE, 'Fishing Trip'!M2, "")</f>
        <v/>
      </c>
      <c r="Q4" s="9" t="str">
        <f>IF(ISBLANK('Fishing Operation'!A2)=TRUE, 'Fishing Operation'!B2, "")</f>
        <v/>
      </c>
      <c r="R4" s="10" t="str">
        <f>IF(ISBLANK('Fishing Operation'!A2)=TRUE, 'Fishing Operation'!F2, "")</f>
        <v/>
      </c>
      <c r="S4" s="22" t="str">
        <f>IF(ISBLANK('Fishing Operation'!A2)=TRUE, 'Fishing Operation'!M2, "")</f>
        <v/>
      </c>
      <c r="U4" s="9" t="str">
        <f>IF(ISBLANK('Species Selection'!A2)=TRUE, 'Species Selection'!B2, "")</f>
        <v/>
      </c>
      <c r="V4" s="10" t="str">
        <f>IF(ISBLANK('Species Selection'!A2)=TRUE,'Species Selection'!F2, "")</f>
        <v/>
      </c>
      <c r="W4" s="22" t="str">
        <f>IF(ISBLANK('Species Selection'!A2)=TRUE,'Species Selection'!M2, "")</f>
        <v/>
      </c>
      <c r="Y4" s="9" t="str">
        <f>IF(ISBLANK(Sample!A2)=TRUE, Sample!B2, "")</f>
        <v/>
      </c>
      <c r="Z4" s="10" t="str">
        <f>IF(ISBLANK(Sample!A2)=TRUE, Sample!F2, "")</f>
        <v/>
      </c>
      <c r="AA4" s="22" t="str">
        <f>IF(ISBLANK(Sample!A2)=TRUE, Sample!M2, "")</f>
        <v/>
      </c>
      <c r="AC4" s="9" t="str">
        <f>IF(ISBLANK('Frequency Measure'!A2)=TRUE, 'Frequency Measure'!B2, "")</f>
        <v/>
      </c>
      <c r="AD4" s="10" t="str">
        <f>IF(ISBLANK('Frequency Measure'!A2)=TRUE, 'Frequency Measure'!F2, "")</f>
        <v/>
      </c>
      <c r="AE4" s="10" t="str">
        <f>IF(ISBLANK('Frequency Measure'!A2)=TRUE, 'Frequency Measure'!M2, "")</f>
        <v/>
      </c>
      <c r="AG4" s="9" t="str">
        <f>IF(ISBLANK('Biological Variable'!A2)=TRUE, 'Biological Variable'!B2, "")</f>
        <v/>
      </c>
      <c r="AH4" s="10" t="str">
        <f>IF(ISBLANK('Biological Variable'!A2)=TRUE, 'Biological Variable'!F2, "")</f>
        <v/>
      </c>
      <c r="AI4" s="10" t="str">
        <f>IF(ISBLANK('Biological Variable'!A2)=TRUE, 'Biological Variable'!M2, "")</f>
        <v/>
      </c>
    </row>
    <row r="5" spans="1:35" x14ac:dyDescent="0.3">
      <c r="A5" s="9">
        <f>IF(ISBLANK(Design!A3)=TRUE, Design!B3, "")</f>
        <v>0</v>
      </c>
      <c r="B5" s="10" t="str">
        <f>IF(ISBLANK(Design!A3)=TRUE, Design!F3, "")</f>
        <v>DErecordType</v>
      </c>
      <c r="C5" s="10" t="str">
        <f>IF(ISBLANK(Design!A3)=TRUE, Design!M3, "")</f>
        <v>Fixed value ('DE')</v>
      </c>
      <c r="E5" s="9" t="str">
        <f>IF(ISBLANK('Sampling Details'!A3)=TRUE, 'Sampling Details'!B3, "")</f>
        <v/>
      </c>
      <c r="F5" s="10" t="str">
        <f>IF(ISBLANK('Sampling Details'!A3)=TRUE, 'Sampling Details'!F3, "")</f>
        <v/>
      </c>
      <c r="G5" s="10" t="str">
        <f>IF(ISBLANK('Sampling Details'!A3)=TRUE, 'Sampling Details'!M3, "")</f>
        <v/>
      </c>
      <c r="I5" s="9" t="str">
        <f>IF(ISBLANK('Vessel Selection'!A3)=TRUE, 'Vessel Selection'!B3, "")</f>
        <v/>
      </c>
      <c r="J5" s="10" t="str">
        <f>IF(ISBLANK('Vessel Selection'!A3)=TRUE, 'Vessel Selection'!F3, "")</f>
        <v/>
      </c>
      <c r="K5" s="22" t="str">
        <f>IF(ISBLANK('Vessel Selection'!A3)=TRUE, 'Vessel Selection'!M3, "")</f>
        <v/>
      </c>
      <c r="N5" s="10" t="str">
        <f>IF(ISBLANK('Fishing Trip'!A3)=TRUE, 'Fishing Trip'!F3, "")</f>
        <v/>
      </c>
      <c r="O5" s="22" t="str">
        <f>IF(ISBLANK('Fishing Trip'!A3)=TRUE, 'Fishing Trip'!M3, "")</f>
        <v/>
      </c>
      <c r="Q5" s="9" t="str">
        <f>IF(ISBLANK('Fishing Operation'!A3)=TRUE, 'Fishing Operation'!B3, "")</f>
        <v/>
      </c>
      <c r="R5" s="10" t="str">
        <f>IF(ISBLANK('Fishing Operation'!A3)=TRUE, 'Fishing Operation'!F3, "")</f>
        <v/>
      </c>
      <c r="S5" s="22" t="str">
        <f>IF(ISBLANK('Fishing Operation'!A3)=TRUE, 'Fishing Operation'!M3, "")</f>
        <v/>
      </c>
      <c r="U5" s="9" t="str">
        <f>IF(ISBLANK('Species Selection'!A3)=TRUE, 'Species Selection'!B3, "")</f>
        <v/>
      </c>
      <c r="V5" s="10" t="str">
        <f>IF(ISBLANK('Species Selection'!A3)=TRUE,'Species Selection'!F3, "")</f>
        <v/>
      </c>
      <c r="W5" s="22" t="str">
        <f>IF(ISBLANK('Species Selection'!A3)=TRUE,'Species Selection'!M3, "")</f>
        <v/>
      </c>
      <c r="Y5" s="9" t="str">
        <f>IF(ISBLANK(Sample!#REF!)=TRUE, Sample!#REF!, "")</f>
        <v/>
      </c>
      <c r="Z5" s="10" t="str">
        <f>IF(ISBLANK(Sample!#REF!)=TRUE, Sample!#REF!, "")</f>
        <v/>
      </c>
      <c r="AA5" s="22" t="str">
        <f>IF(ISBLANK(Sample!#REF!)=TRUE, Sample!#REF!, "")</f>
        <v/>
      </c>
      <c r="AC5" s="9" t="str">
        <f>IF(ISBLANK('Frequency Measure'!A3)=TRUE, 'Frequency Measure'!B3, "")</f>
        <v/>
      </c>
      <c r="AD5" s="10" t="str">
        <f>IF(ISBLANK('Frequency Measure'!A3)=TRUE, 'Frequency Measure'!F3, "")</f>
        <v/>
      </c>
      <c r="AE5" s="22" t="str">
        <f>IF(ISBLANK('Frequency Measure'!A3)=TRUE, 'Frequency Measure'!M3, "")</f>
        <v/>
      </c>
      <c r="AG5" s="9" t="str">
        <f>IF(ISBLANK('Biological Variable'!A3)=TRUE, 'Biological Variable'!B3, "")</f>
        <v/>
      </c>
      <c r="AH5" s="10" t="str">
        <f>IF(ISBLANK('Biological Variable'!A3)=TRUE, 'Biological Variable'!F3, "")</f>
        <v/>
      </c>
      <c r="AI5" s="10" t="str">
        <f>IF(ISBLANK('Biological Variable'!A3)=TRUE, 'Biological Variable'!M3, "")</f>
        <v/>
      </c>
    </row>
    <row r="6" spans="1:35" x14ac:dyDescent="0.3">
      <c r="A6" s="9">
        <f>IF(ISBLANK(Design!A4)=TRUE, Design!B4, "")</f>
        <v>0</v>
      </c>
      <c r="B6" s="10" t="str">
        <f>IF(ISBLANK(Design!A4)=TRUE, Design!F4, "")</f>
        <v>DEsamplingScheme</v>
      </c>
      <c r="C6" s="10" t="str">
        <f>IF(ISBLANK(Design!A4)=TRUE, Design!M4, "")</f>
        <v>Sampling Scheme Name</v>
      </c>
      <c r="E6" s="9">
        <f>IF(ISBLANK('Sampling Details'!A4)=TRUE, 'Sampling Details'!B4, "")</f>
        <v>0</v>
      </c>
      <c r="F6" s="10" t="str">
        <f>IF(ISBLANK('Sampling Details'!A4)=TRUE, 'Sampling Details'!F4, "")</f>
        <v>SDrecordType</v>
      </c>
      <c r="G6" s="10" t="str">
        <f>IF(ISBLANK('Sampling Details'!A4)=TRUE, 'Sampling Details'!M4, "")</f>
        <v>Fixed value ('SD')</v>
      </c>
      <c r="I6" s="9" t="str">
        <f>IF(ISBLANK('Vessel Selection'!A4)=TRUE, 'Vessel Selection'!B4, "")</f>
        <v/>
      </c>
      <c r="J6" s="10" t="str">
        <f>IF(ISBLANK('Vessel Selection'!A4)=TRUE, 'Vessel Selection'!F4, "")</f>
        <v/>
      </c>
      <c r="K6" s="22" t="str">
        <f>IF(ISBLANK('Vessel Selection'!A4)=TRUE, 'Vessel Selection'!M4, "")</f>
        <v/>
      </c>
      <c r="N6" s="10" t="str">
        <f>IF(ISBLANK('Fishing Trip'!A4)=TRUE, 'Fishing Trip'!F4, "")</f>
        <v/>
      </c>
      <c r="O6" s="22" t="str">
        <f>IF(ISBLANK('Fishing Trip'!A4)=TRUE, 'Fishing Trip'!M4, "")</f>
        <v/>
      </c>
      <c r="Q6" s="9">
        <f>IF(ISBLANK('Fishing Operation'!A5)=TRUE, 'Fishing Operation'!B5, "")</f>
        <v>0</v>
      </c>
      <c r="R6" s="10" t="str">
        <f>IF(ISBLANK('Fishing Operation'!A4)=TRUE, 'Fishing Operation'!F4, "")</f>
        <v/>
      </c>
      <c r="S6" s="22" t="str">
        <f>IF(ISBLANK('Fishing Operation'!A4)=TRUE, 'Fishing Operation'!M4, "")</f>
        <v/>
      </c>
      <c r="U6" s="9" t="str">
        <f>IF(ISBLANK('Species Selection'!A7)=TRUE, 'Species Selection'!B7, "")</f>
        <v/>
      </c>
      <c r="V6" s="10" t="str">
        <f>IF(ISBLANK('Species Selection'!A7)=TRUE,'Species Selection'!F7, "")</f>
        <v/>
      </c>
      <c r="W6" s="22" t="str">
        <f>IF(ISBLANK('Species Selection'!A7)=TRUE,'Species Selection'!M7, "")</f>
        <v/>
      </c>
      <c r="Y6" s="9" t="str">
        <f>IF(ISBLANK(Sample!A3)=TRUE, Sample!B3, "")</f>
        <v/>
      </c>
      <c r="Z6" s="10" t="str">
        <f>IF(ISBLANK(Sample!A3)=TRUE, Sample!F3, "")</f>
        <v/>
      </c>
      <c r="AA6" s="22" t="str">
        <f>IF(ISBLANK(Sample!A3)=TRUE, Sample!M3, "")</f>
        <v/>
      </c>
      <c r="AC6" s="9">
        <f>IF(ISBLANK('Frequency Measure'!A4)=TRUE, 'Frequency Measure'!B4, "")</f>
        <v>0</v>
      </c>
      <c r="AD6" s="10" t="str">
        <f>IF(ISBLANK('Frequency Measure'!A4)=TRUE, 'Frequency Measure'!F4, "")</f>
        <v>FMrecordType</v>
      </c>
      <c r="AE6" s="22" t="str">
        <f>IF(ISBLANK('Frequency Measure'!A4)=TRUE, 'Frequency Measure'!M4, "")</f>
        <v>Fixed value ('FM')</v>
      </c>
      <c r="AG6" s="9" t="str">
        <f>IF(ISBLANK('Biological Variable'!A4)=TRUE, 'Biological Variable'!B4, "")</f>
        <v/>
      </c>
      <c r="AH6" s="10" t="str">
        <f>IF(ISBLANK('Biological Variable'!A4)=TRUE, 'Biological Variable'!F4, "")</f>
        <v/>
      </c>
      <c r="AI6" s="22" t="str">
        <f>IF(ISBLANK('Biological Variable'!A4)=TRUE, 'Biological Variable'!M4, "")</f>
        <v/>
      </c>
    </row>
    <row r="7" spans="1:35" x14ac:dyDescent="0.3">
      <c r="A7" s="9">
        <f>IF(ISBLANK(Design!A6)=TRUE, Design!B6, "")</f>
        <v>0</v>
      </c>
      <c r="B7" s="10" t="str">
        <f>IF(ISBLANK(Design!A5)=TRUE, Design!F5, "")</f>
        <v>DEsamplingSchemeType</v>
      </c>
      <c r="C7" s="10" t="str">
        <f>IF(ISBLANK(Design!A5)=TRUE, Design!M5, "")</f>
        <v xml:space="preserve"> Sampling scheme type code list: 
'Regional Routine', 'Regional Pilot', 'National Routine', 'National Pilot'. </v>
      </c>
      <c r="E7" s="9">
        <f>IF(ISBLANK('Sampling Details'!A5)=TRUE, 'Sampling Details'!B5, "")</f>
        <v>0</v>
      </c>
      <c r="F7" s="10" t="str">
        <f>IF(ISBLANK('Sampling Details'!A5)=TRUE, 'Sampling Details'!F5, "")</f>
        <v>SDcountry</v>
      </c>
      <c r="G7" s="10" t="str">
        <f>IF(ISBLANK('Sampling Details'!A5)=TRUE, 'Sampling Details'!M5, "")</f>
        <v>Sampling Country</v>
      </c>
      <c r="I7" s="9" t="str">
        <f>IF(ISBLANK('Vessel Selection'!A5)=TRUE, 'Vessel Selection'!B5, "")</f>
        <v/>
      </c>
      <c r="J7" s="10" t="str">
        <f>IF(ISBLANK('Vessel Selection'!A5)=TRUE, 'Vessel Selection'!F5, "")</f>
        <v/>
      </c>
      <c r="K7" s="22" t="str">
        <f>IF(ISBLANK('Vessel Selection'!A5)=TRUE, 'Vessel Selection'!M5, "")</f>
        <v/>
      </c>
      <c r="N7" s="10" t="str">
        <f>IF(ISBLANK('Fishing Trip'!A5)=TRUE, 'Fishing Trip'!F5, "")</f>
        <v/>
      </c>
      <c r="O7" s="22" t="str">
        <f>IF(ISBLANK('Fishing Trip'!A5)=TRUE, 'Fishing Trip'!M5, "")</f>
        <v/>
      </c>
      <c r="Q7" s="9" t="str">
        <f>IF(ISBLANK('Fishing Operation'!#REF!)=TRUE, 'Fishing Operation'!#REF!, "")</f>
        <v/>
      </c>
      <c r="R7" s="10" t="str">
        <f>IF(ISBLANK('Fishing Operation'!A5)=TRUE, 'Fishing Operation'!F5, "")</f>
        <v>FOrecordType</v>
      </c>
      <c r="S7" s="22" t="str">
        <f>IF(ISBLANK('Fishing Operation'!A5)=TRUE, 'Fishing Operation'!M5, "")</f>
        <v>Fixed value ('FO')</v>
      </c>
      <c r="U7" s="9">
        <f>IF(ISBLANK('Species Selection'!A9)=TRUE, 'Species Selection'!B9, "")</f>
        <v>0</v>
      </c>
      <c r="V7" s="10" t="str">
        <f>IF(ISBLANK('Species Selection'!A8)=TRUE,'Species Selection'!F8, "")</f>
        <v/>
      </c>
      <c r="W7" s="22" t="str">
        <f>IF(ISBLANK('Species Selection'!A8)=TRUE,'Species Selection'!M8, "")</f>
        <v/>
      </c>
      <c r="Y7" s="9">
        <f>IF(ISBLANK(Sample!A4)=TRUE, Sample!B4, "")</f>
        <v>0</v>
      </c>
      <c r="Z7" s="10" t="str">
        <f>IF(ISBLANK(Sample!A4)=TRUE, Sample!F4, "")</f>
        <v>SArecordType</v>
      </c>
      <c r="AA7" s="22" t="str">
        <f>IF(ISBLANK(Sample!A4)=TRUE, Sample!M4, "")</f>
        <v>Fixed value ('SA')</v>
      </c>
      <c r="AC7" s="9">
        <f>IF(ISBLANK('Frequency Measure'!A7)=TRUE, 'Frequency Measure'!B7, "")</f>
        <v>0</v>
      </c>
      <c r="AD7" s="10" t="str">
        <f>IF(ISBLANK('Frequency Measure'!A7)=TRUE, 'Frequency Measure'!F7, "")</f>
        <v>FMclassMeasured</v>
      </c>
      <c r="AE7" s="22" t="str">
        <f>IF(ISBLANK('Frequency Measure'!A7)=TRUE, 'Frequency Measure'!M7, "")</f>
        <v>The length in mm or weight in g with no decimal.</v>
      </c>
      <c r="AG7" s="9">
        <f>IF(ISBLANK('Biological Variable'!A5)=TRUE, 'Biological Variable'!B5, "")</f>
        <v>0</v>
      </c>
      <c r="AH7" s="10" t="str">
        <f>IF(ISBLANK('Biological Variable'!A5)=TRUE, 'Biological Variable'!F5, "")</f>
        <v>BVrecordType</v>
      </c>
      <c r="AI7" s="22" t="str">
        <f>IF(ISBLANK('Biological Variable'!A5)=TRUE, 'Biological Variable'!M5, "")</f>
        <v>Fixed value ('BV')</v>
      </c>
    </row>
    <row r="8" spans="1:35" ht="46.8" x14ac:dyDescent="0.3">
      <c r="A8" s="9">
        <f>IF(ISBLANK(Design!A7)=TRUE, Design!B7, "")</f>
        <v>0</v>
      </c>
      <c r="B8" s="10" t="str">
        <f>IF(ISBLANK(Design!A6)=TRUE, Design!F6, "")</f>
        <v>DEyear</v>
      </c>
      <c r="C8" s="10" t="str">
        <f>IF(ISBLANK(Design!A6)=TRUE, Design!M6, "")</f>
        <v>Year of sampling</v>
      </c>
      <c r="E8" s="9">
        <f>IF(ISBLANK('Sampling Details'!A6)=TRUE, 'Sampling Details'!B6, "")</f>
        <v>0</v>
      </c>
      <c r="F8" s="10" t="str">
        <f>IF(ISBLANK('Sampling Details'!A6)=TRUE, 'Sampling Details'!F6, "")</f>
        <v>SDinstitution</v>
      </c>
      <c r="G8" s="10" t="str">
        <f>IF(ISBLANK('Sampling Details'!A6)=TRUE, 'Sampling Details'!M6, "")</f>
        <v>Sampling Institute</v>
      </c>
      <c r="I8" s="9">
        <f>IF(ISBLANK('Vessel Selection'!A6)=TRUE, 'Vessel Selection'!B6, "")</f>
        <v>0</v>
      </c>
      <c r="J8" s="10" t="str">
        <f>IF(ISBLANK('Vessel Selection'!A6)=TRUE, 'Vessel Selection'!F6, "")</f>
        <v>VSrecordType</v>
      </c>
      <c r="K8" s="22" t="str">
        <f>IF(ISBLANK('Vessel Selection'!A6)=TRUE, 'Vessel Selection'!M6, "")</f>
        <v>Fixed value ('VS')</v>
      </c>
      <c r="N8" s="10" t="str">
        <f>IF(ISBLANK('Fishing Trip'!A6)=TRUE, 'Fishing Trip'!F6, "")</f>
        <v/>
      </c>
      <c r="O8" s="22" t="str">
        <f>IF(ISBLANK('Fishing Trip'!A6)=TRUE, 'Fishing Trip'!M6, "")</f>
        <v/>
      </c>
      <c r="Q8" s="9">
        <f>IF(ISBLANK('Fishing Operation'!A8)=TRUE, 'Fishing Operation'!B8, "")</f>
        <v>0</v>
      </c>
      <c r="R8" s="10" t="str">
        <f>IF(ISBLANK('Fishing Operation'!A6)=TRUE, 'Fishing Operation'!F6, "")</f>
        <v>FOstratification</v>
      </c>
      <c r="S8" s="22" t="str">
        <f>IF(ISBLANK('Fishing Operation'!A6)=TRUE, 'Fishing Operation'!M6, "")</f>
        <v>Indicator of presence ("Y") or absence ("N") of stratification of units in that level of the sampling hierarchy</v>
      </c>
      <c r="U8" s="9">
        <f>IF(ISBLANK('Species Selection'!A11)=TRUE, 'Species Selection'!B11, "")</f>
        <v>0</v>
      </c>
      <c r="V8" s="10" t="str">
        <f>IF(ISBLANK('Species Selection'!A9)=TRUE,'Species Selection'!F9, "")</f>
        <v>SSrecordType</v>
      </c>
      <c r="W8" s="22" t="str">
        <f>IF(ISBLANK('Species Selection'!A9)=TRUE,'Species Selection'!M9, "")</f>
        <v>Fixed value ('SS')</v>
      </c>
      <c r="Y8" s="9" t="str">
        <f>IF(ISBLANK(Sample!#REF!)=TRUE, Sample!#REF!, "")</f>
        <v/>
      </c>
      <c r="Z8" s="10" t="str">
        <f>IF(ISBLANK(Sample!#REF!)=TRUE, Sample!#REF!, "")</f>
        <v/>
      </c>
      <c r="AA8" s="22" t="str">
        <f>IF(ISBLANK(Sample!#REF!)=TRUE, Sample!#REF!, "")</f>
        <v/>
      </c>
      <c r="AC8" s="9">
        <f>IF(ISBLANK('Frequency Measure'!A8)=TRUE, 'Frequency Measure'!B8, "")</f>
        <v>0</v>
      </c>
      <c r="AD8" s="10" t="str">
        <f>IF(ISBLANK('Frequency Measure'!A8)=TRUE, 'Frequency Measure'!F8, "")</f>
        <v>FMnumberAtUnit</v>
      </c>
      <c r="AE8" s="22" t="str">
        <f>IF(ISBLANK('Frequency Measure'!A8)=TRUE, 'Frequency Measure'!M8, "")</f>
        <v>Number of individuals.</v>
      </c>
      <c r="AG8" s="9">
        <f>IF(ISBLANK('Biological Variable'!A6)=TRUE, 'Biological Variable'!B6, "")</f>
        <v>0</v>
      </c>
      <c r="AH8" s="10" t="str">
        <f>IF(ISBLANK('Biological Variable'!A6)=TRUE, 'Biological Variable'!F6, "")</f>
        <v>BVnationalUniqueFishId</v>
      </c>
      <c r="AI8" s="22" t="str">
        <f>IF(ISBLANK('Biological Variable'!A6)=TRUE, 'Biological Variable'!M6, "")</f>
        <v>National numbering system of the individual fish.</v>
      </c>
    </row>
    <row r="9" spans="1:35" ht="46.8" x14ac:dyDescent="0.3">
      <c r="A9" s="9">
        <f>IF(ISBLANK(Design!A9)=TRUE, Design!B9, "")</f>
        <v>0</v>
      </c>
      <c r="B9" s="10" t="str">
        <f>IF(ISBLANK(Design!A7)=TRUE, Design!F7, "")</f>
        <v>DEstratumName</v>
      </c>
      <c r="C9" s="10" t="str">
        <f>IF(ISBLANK(Design!A7)=TRUE, Design!M7, "")</f>
        <v>Sampling frame stratum.</v>
      </c>
      <c r="E9" s="9">
        <f>IF(ISBLANK('Sampling Details'!A7)=TRUE, 'Sampling Details'!B7, "")</f>
        <v>0</v>
      </c>
      <c r="F9" s="10">
        <f>IF(ISBLANK('Sampling Details'!A7)=TRUE, 'Sampling Details'!F7, "")</f>
        <v>0</v>
      </c>
      <c r="G9" s="10">
        <f>IF(ISBLANK('Sampling Details'!A7)=TRUE, 'Sampling Details'!M7, "")</f>
        <v>0</v>
      </c>
      <c r="I9" s="9">
        <f>IF(ISBLANK('Vessel Selection'!A10)=TRUE, 'Vessel Selection'!B10, "")</f>
        <v>0</v>
      </c>
      <c r="J9" s="10" t="str">
        <f>IF(ISBLANK('Vessel Selection'!A8)=TRUE, 'Vessel Selection'!F8, "")</f>
        <v>VSencryptedVesselCode</v>
      </c>
      <c r="K9" s="22" t="str">
        <f>IF(ISBLANK('Vessel Selection'!A8)=TRUE, 'Vessel Selection'!M8, "")</f>
        <v>Encrypted by the national institute before it is upload. This code it refering to the Encrypted Vessel Identifier field in the Vessel Details.</v>
      </c>
      <c r="N9" s="10" t="str">
        <f>IF(ISBLANK('Fishing Trip'!A7)=TRUE, 'Fishing Trip'!F7, "")</f>
        <v/>
      </c>
      <c r="O9" s="22" t="str">
        <f>IF(ISBLANK('Fishing Trip'!A7)=TRUE, 'Fishing Trip'!M7, "")</f>
        <v/>
      </c>
      <c r="Q9" s="9">
        <f>IF(ISBLANK('Fishing Operation'!A12)=TRUE, 'Fishing Operation'!B12, "")</f>
        <v>0</v>
      </c>
      <c r="R9" s="10" t="str">
        <f>IF(ISBLANK('Fishing Operation'!#REF!)=TRUE, 'Fishing Operation'!#REF!, "")</f>
        <v/>
      </c>
      <c r="S9" s="22" t="str">
        <f>IF(ISBLANK('Fishing Operation'!#REF!)=TRUE, 'Fishing Operation'!#REF!, "")</f>
        <v/>
      </c>
      <c r="U9" s="9">
        <f>IF(ISBLANK('Species Selection'!A16)=TRUE, 'Species Selection'!B16, "")</f>
        <v>0</v>
      </c>
      <c r="V9" s="10" t="str">
        <f>IF(ISBLANK('Species Selection'!A11)=TRUE,'Species Selection'!F11, "")</f>
        <v>SSstratification</v>
      </c>
      <c r="W9" s="22" t="str">
        <f>IF(ISBLANK('Species Selection'!A11)=TRUE,'Species Selection'!M11, "")</f>
        <v>Indicator of presence ("Y") or absence ("N") of stratification of units in that level of the sampling hierarchy</v>
      </c>
      <c r="Y9" s="9">
        <f>IF(ISBLANK(Sample!A8)=TRUE, Sample!B8, "")</f>
        <v>0</v>
      </c>
      <c r="Z9" s="10" t="str">
        <f>IF(ISBLANK(Sample!A8)=TRUE, Sample!F8, "")</f>
        <v>SAstratumName</v>
      </c>
      <c r="AA9" s="22" t="str">
        <f>IF(ISBLANK(Sample!A8)=TRUE, Sample!M8, "")</f>
        <v>The stratum of this sample, 'U' if unstratified</v>
      </c>
      <c r="AC9" s="9">
        <f>IF(ISBLANK('Frequency Measure'!A9)=TRUE, 'Frequency Measure'!B9, "")</f>
        <v>0</v>
      </c>
      <c r="AD9" s="10" t="str">
        <f>IF(ISBLANK('Frequency Measure'!A9)=TRUE, 'Frequency Measure'!F9, "")</f>
        <v>FMtypeMeasured</v>
      </c>
      <c r="AE9" s="22" t="str">
        <f>IF(ISBLANK('Frequency Measure'!A9)=TRUE, 'Frequency Measure'!M9, "")</f>
        <v xml:space="preserve">The measurement type of the class. </v>
      </c>
      <c r="AG9" s="9">
        <f>IF(ISBLANK('Biological Variable'!A10)=TRUE, 'Biological Variable'!B10, "")</f>
        <v>0</v>
      </c>
      <c r="AH9" s="10" t="str">
        <f>IF(ISBLANK('Biological Variable'!A10)=TRUE, 'Biological Variable'!F10, "")</f>
        <v>BVstratumName</v>
      </c>
      <c r="AI9" s="22" t="str">
        <f>IF(ISBLANK('Biological Variable'!A10)=TRUE, 'Biological Variable'!M10, "")</f>
        <v>The stratum of this record, 'U' if unstratified</v>
      </c>
    </row>
    <row r="10" spans="1:35" ht="62.4" x14ac:dyDescent="0.3">
      <c r="A10" s="9">
        <f>IF(ISBLANK(Design!A10)=TRUE, Design!B10, "")</f>
        <v>0</v>
      </c>
      <c r="B10" s="10" t="str">
        <f>IF(ISBLANK(Design!A8)=TRUE, Design!F8, "")</f>
        <v>DEhierarchyCorrect</v>
      </c>
      <c r="C10" s="10" t="str">
        <f>IF(ISBLANK(Design!A8)=TRUE, Design!M8, "")</f>
        <v>Was the hierarchy clearly identified?</v>
      </c>
      <c r="E10" s="9">
        <f>IF(ISBLANK('Sampling Details'!A8)=TRUE, 'Sampling Details'!B8, "")</f>
        <v>0</v>
      </c>
      <c r="F10" s="9">
        <f>IF(ISBLANK('Sampling Details'!A8)=TRUE, 'Sampling Details'!G8, "")</f>
        <v>0</v>
      </c>
      <c r="G10" s="9">
        <f>IF(ISBLANK('Sampling Details'!A8)=TRUE, 'Sampling Details'!M8, "")</f>
        <v>0</v>
      </c>
      <c r="I10" s="9">
        <f>IF(ISBLANK('Vessel Selection'!A14)=TRUE, 'Vessel Selection'!B14, "")</f>
        <v>0</v>
      </c>
      <c r="J10" s="10" t="str">
        <f>IF(ISBLANK('Vessel Selection'!A9)=TRUE, 'Vessel Selection'!F9, "")</f>
        <v>VSstratification</v>
      </c>
      <c r="K10" s="22" t="str">
        <f>IF(ISBLANK('Vessel Selection'!A9)=TRUE, 'Vessel Selection'!M9, "")</f>
        <v>Indicator of presence ("Y") or absence ("N") of stratification of units in that level of the sampling hierarchy</v>
      </c>
      <c r="N10" s="10" t="str">
        <f>IF(ISBLANK('Fishing Trip'!A8)=TRUE, 'Fishing Trip'!F8, "")</f>
        <v/>
      </c>
      <c r="O10" s="22" t="str">
        <f>IF(ISBLANK('Fishing Trip'!A8)=TRUE, 'Fishing Trip'!M8, "")</f>
        <v/>
      </c>
      <c r="Q10" s="9">
        <f>IF(ISBLANK('Fishing Operation'!A13)=TRUE, 'Fishing Operation'!B13, "")</f>
        <v>0</v>
      </c>
      <c r="R10" s="10" t="str">
        <f>IF(ISBLANK('Fishing Operation'!A8)=TRUE, 'Fishing Operation'!F8, "")</f>
        <v>FOstratumName</v>
      </c>
      <c r="S10" s="22" t="str">
        <f>IF(ISBLANK('Fishing Operation'!A8)=TRUE, 'Fishing Operation'!M8, "")</f>
        <v>Name of stratum ('U' for unstratified)</v>
      </c>
      <c r="U10" s="9">
        <f>IF(ISBLANK('Species Selection'!A12)=TRUE, 'Species Selection'!B12, "")</f>
        <v>0</v>
      </c>
      <c r="V10" s="10" t="str">
        <f>IF(ISBLANK('Species Selection'!A16)=TRUE,'Species Selection'!F16, "")</f>
        <v>SScatchFraction</v>
      </c>
      <c r="W10" s="22" t="str">
        <f>IF(ISBLANK('Species Selection'!A16)=TRUE,'Species Selection'!M16, "")</f>
        <v>Registers how the catch is sampled by observers. This is really a strata so e.g., ”catch” and ”lan” cannot be provided for the same haul.  Population is given by catchReg in upper table</v>
      </c>
      <c r="Y10" s="9" t="str">
        <f>IF(ISBLANK(Sample!#REF!)=TRUE, Sample!#REF!, "")</f>
        <v/>
      </c>
      <c r="Z10" s="10" t="str">
        <f>IF(ISBLANK(Sample!A9)=TRUE, Sample!F9, "")</f>
        <v>SAspeciesCode</v>
      </c>
      <c r="AA10" s="22" t="str">
        <f>IF(ISBLANK(Sample!A9)=TRUE, Sample!M9, "")</f>
        <v>The Aphiaid code of the specie</v>
      </c>
      <c r="AC10" s="9">
        <f>IF(ISBLANK('Frequency Measure'!A12)=TRUE, 'Frequency Measure'!B12, "")</f>
        <v>0</v>
      </c>
      <c r="AD10" s="10" t="str">
        <f>IF(ISBLANK('Frequency Measure'!A12)=TRUE, 'Frequency Measure'!F12, "")</f>
        <v>FMaccuracy</v>
      </c>
      <c r="AE10" s="22" t="str">
        <f>IF(ISBLANK('Frequency Measure'!A12)=TRUE, 'Frequency Measure'!M12, "")</f>
        <v>Accuracy e.g. "cm"</v>
      </c>
      <c r="AG10" s="9">
        <f>IF(ISBLANK('Biological Variable'!A11)=TRUE, 'Biological Variable'!B11, "")</f>
        <v>0</v>
      </c>
      <c r="AH10" s="10" t="str">
        <f>IF(ISBLANK('Biological Variable'!A11)=TRUE, 'Biological Variable'!F11, "")</f>
        <v>BVtypeMeasured</v>
      </c>
      <c r="AI10" s="22" t="str">
        <f>IF(ISBLANK('Biological Variable'!A11)=TRUE, 'Biological Variable'!M11, "")</f>
        <v>Type of measurment e.g. "Age"</v>
      </c>
    </row>
    <row r="11" spans="1:35" ht="46.8" x14ac:dyDescent="0.3">
      <c r="A11" s="9">
        <f>IF(ISBLANK(Design!A12)=TRUE, Design!B12, "")</f>
        <v>0</v>
      </c>
      <c r="B11" s="10" t="str">
        <f>IF(ISBLANK(Design!A9)=TRUE, Design!F9, "")</f>
        <v>DEhierarchy</v>
      </c>
      <c r="C11" s="10" t="str">
        <f>IF(ISBLANK(Design!A9)=TRUE, Design!M9, "")</f>
        <v>Upper Hierarchy</v>
      </c>
      <c r="F11" s="9" t="s">
        <v>209</v>
      </c>
      <c r="I11" s="9">
        <f>IF(ISBLANK('Vessel Selection'!A15)=TRUE, 'Vessel Selection'!B15, "")</f>
        <v>0</v>
      </c>
      <c r="J11" s="10" t="str">
        <f>IF(ISBLANK('Vessel Selection'!A10)=TRUE, 'Vessel Selection'!F10, "")</f>
        <v>VSstratumName</v>
      </c>
      <c r="K11" s="22" t="str">
        <f>IF(ISBLANK('Vessel Selection'!A10)=TRUE, 'Vessel Selection'!M10, "")</f>
        <v>Name of stratum ('U' for unstratified).</v>
      </c>
      <c r="N11" s="10" t="str">
        <f>IF(ISBLANK('Fishing Trip'!A9)=TRUE, 'Fishing Trip'!F9, "")</f>
        <v>FTrecordType</v>
      </c>
      <c r="O11" s="22" t="str">
        <f>IF(ISBLANK('Fishing Trip'!A9)=TRUE, 'Fishing Trip'!M9, "")</f>
        <v>Fixed value ('FT')</v>
      </c>
      <c r="Q11" s="9">
        <f>IF(ISBLANK('Fishing Operation'!A14)=TRUE, 'Fishing Operation'!B14, "")</f>
        <v>0</v>
      </c>
      <c r="R11" s="10" t="str">
        <f>IF(ISBLANK('Fishing Operation'!A9)=TRUE, 'Fishing Operation'!F9, "")</f>
        <v>FOclustering</v>
      </c>
      <c r="S11" s="22" t="str">
        <f>IF(ISBLANK('Fishing Operation'!A9)=TRUE, 'Fishing Operation'!M9, "")</f>
        <v>Indicator existence and type of cluster sampling of units in that level of the sampling hierarchy</v>
      </c>
      <c r="U11" s="9">
        <f>IF(ISBLANK('Species Selection'!A19)=TRUE, 'Species Selection'!B19, "")</f>
        <v>0</v>
      </c>
      <c r="V11" s="10" t="str">
        <f>IF(ISBLANK('Species Selection'!A17)=TRUE,'Species Selection'!F17, "")</f>
        <v>SSobservationType</v>
      </c>
      <c r="W11" s="22" t="str">
        <f>IF(ISBLANK('Species Selection'!A17)=TRUE,'Species Selection'!M17, "")</f>
        <v>vol = volume, vis = visual.</v>
      </c>
      <c r="Y11" s="9">
        <f>IF(ISBLANK(Sample!A9)=TRUE, Sample!B9, "")</f>
        <v>0</v>
      </c>
      <c r="Z11" s="10" t="str">
        <f>IF(ISBLANK(Sample!A10)=TRUE, Sample!F10, "")</f>
        <v>SAspeciesCodeFAO</v>
      </c>
      <c r="AA11" s="22" t="str">
        <f>IF(ISBLANK(Sample!A10)=TRUE, Sample!M10, "")</f>
        <v>The FAO species code</v>
      </c>
      <c r="AC11" s="9">
        <f>IF(ISBLANK('Frequency Measure'!A7)=TRUE, 'Frequency Measure'!B7, "")</f>
        <v>0</v>
      </c>
      <c r="AD11" s="10" t="str">
        <f>IF(ISBLANK('Frequency Measure'!A15)=TRUE, 'Frequency Measure'!F15, "")</f>
        <v>FMsampler</v>
      </c>
      <c r="AE11" s="22" t="str">
        <f>IF(ISBLANK('Frequency Measure'!A15)=TRUE, 'Frequency Measure'!M15, "")</f>
        <v>Self-sampling, Observer, Control, Electronic Monitoring (EM). In the future potential combinations of e.g. observer and EM</v>
      </c>
      <c r="AG11" s="9">
        <f>IF(ISBLANK('Biological Variable'!A12)=TRUE, 'Biological Variable'!B12, "")</f>
        <v>0</v>
      </c>
      <c r="AH11" s="10" t="str">
        <f>IF(ISBLANK('Biological Variable'!A12)=TRUE, 'Biological Variable'!F12, "")</f>
        <v>BVvalueMeasured</v>
      </c>
      <c r="AI11" s="22" t="str">
        <f>IF(ISBLANK('Biological Variable'!A12)=TRUE, 'Biological Variable'!M12, "")</f>
        <v xml:space="preserve">Measured value of the Biological variable. </v>
      </c>
    </row>
    <row r="12" spans="1:35" ht="46.8" x14ac:dyDescent="0.3">
      <c r="B12" s="10" t="str">
        <f>IF(ISBLANK(Design!A10)=TRUE, Design!F10, "")</f>
        <v>DEsampled</v>
      </c>
      <c r="C12" s="10">
        <f>IF(ISBLANK(Design!A10)=TRUE, Design!M10, "")</f>
        <v>0</v>
      </c>
      <c r="I12" s="9" t="str">
        <f>IF(ISBLANK('Vessel Selection'!#REF!)=TRUE, 'Vessel Selection'!#REF!, "")</f>
        <v/>
      </c>
      <c r="J12" s="10" t="str">
        <f>IF(ISBLANK('Vessel Selection'!A11)=TRUE, 'Vessel Selection'!F11, "")</f>
        <v>VSclustering</v>
      </c>
      <c r="K12" s="22" t="str">
        <f>IF(ISBLANK('Vessel Selection'!A11)=TRUE, 'Vessel Selection'!M11, "")</f>
        <v>Indicator existence and type of cluster sampling of units in that level of the sampling hierarchy</v>
      </c>
      <c r="N12" s="10" t="str">
        <f>IF(ISBLANK('Fishing Trip'!#REF!)=TRUE, 'Fishing Trip'!#REF!, "")</f>
        <v/>
      </c>
      <c r="O12" s="22" t="str">
        <f>IF(ISBLANK('Fishing Trip'!#REF!)=TRUE, 'Fishing Trip'!#REF!, "")</f>
        <v/>
      </c>
      <c r="Q12" s="9">
        <f>IF(ISBLANK('Fishing Operation'!A15)=TRUE, 'Fishing Operation'!B15, "")</f>
        <v>0</v>
      </c>
      <c r="R12" s="10" t="str">
        <f>IF(ISBLANK('Fishing Operation'!A10)=TRUE, 'Fishing Operation'!F10, "")</f>
        <v>FOclusterName</v>
      </c>
      <c r="S12" s="22" t="str">
        <f>IF(ISBLANK('Fishing Operation'!A10)=TRUE, 'Fishing Operation'!M10, "")</f>
        <v>Name or code of the cluster selected for sampling</v>
      </c>
      <c r="U12" s="9" t="str">
        <f>IF(ISBLANK('Species Selection'!#REF!)=TRUE, 'Species Selection'!#REF!, "")</f>
        <v/>
      </c>
      <c r="V12" s="10" t="str">
        <f>IF(ISBLANK('Species Selection'!A12)=TRUE,'Species Selection'!F12, "")</f>
        <v>SSstratumName</v>
      </c>
      <c r="W12" s="22" t="str">
        <f>IF(ISBLANK('Species Selection'!A12)=TRUE,'Species Selection'!M12, "")</f>
        <v>Name of stratum ('U' for unstratified)</v>
      </c>
      <c r="Y12" s="9" t="str">
        <f>IF(ISBLANK(Sample!#REF!)=TRUE, Sample!#REF!, "")</f>
        <v/>
      </c>
      <c r="Z12" s="10" t="str">
        <f>IF(ISBLANK(Sample!A12)=TRUE, Sample!F12, "")</f>
        <v>SApresentation</v>
      </c>
      <c r="AA12" s="22" t="str">
        <f>IF(ISBLANK(Sample!A12)=TRUE, Sample!M12, "")</f>
        <v>Presentation e.g. gutted, whole, headless etc.</v>
      </c>
      <c r="AC12" s="9" t="str">
        <f>IF(ISBLANK('Frequency Measure'!#REF!)=TRUE, 'Frequency Measure'!#REF!, "")</f>
        <v/>
      </c>
      <c r="AD12" s="10">
        <f>IF(ISBLANK('Frequency Measure'!A18)=TRUE, 'Frequency Measure'!F18, "")</f>
        <v>0</v>
      </c>
      <c r="AE12" s="22">
        <f>IF(ISBLANK('Frequency Measure'!A18)=TRUE, 'Frequency Measure'!M18, "")</f>
        <v>0</v>
      </c>
      <c r="AG12" s="9">
        <f>IF(ISBLANK('Biological Variable'!A13)=TRUE, 'Biological Variable'!B13, "")</f>
        <v>0</v>
      </c>
      <c r="AH12" s="10" t="str">
        <f>IF(ISBLANK('Biological Variable'!A13)=TRUE, 'Biological Variable'!F13, "")</f>
        <v>BVvalueUnitOrScale</v>
      </c>
      <c r="AI12" s="22" t="str">
        <f>IF(ISBLANK('Biological Variable'!A13)=TRUE, 'Biological Variable'!M13, "")</f>
        <v>The unit or scale of the measured value</v>
      </c>
    </row>
    <row r="13" spans="1:35" ht="46.8" x14ac:dyDescent="0.3">
      <c r="C13" s="9" t="s">
        <v>209</v>
      </c>
      <c r="I13" s="9">
        <f>IF(ISBLANK('Vessel Selection'!A18)=TRUE, 'Vessel Selection'!B18, "")</f>
        <v>0</v>
      </c>
      <c r="J13" s="10" t="str">
        <f>IF(ISBLANK('Vessel Selection'!A12)=TRUE, 'Vessel Selection'!F12, "")</f>
        <v>VSclusterName</v>
      </c>
      <c r="K13" s="22" t="str">
        <f>IF(ISBLANK('Vessel Selection'!A12)=TRUE, 'Vessel Selection'!M12, "")</f>
        <v>Name or code of the cluster selected for sampling</v>
      </c>
      <c r="N13" s="10" t="str">
        <f>IF(ISBLANK('Fishing Trip'!A12)=TRUE, 'Fishing Trip'!F12, "")</f>
        <v>FTstratification</v>
      </c>
      <c r="O13" s="22" t="str">
        <f>IF(ISBLANK('Fishing Trip'!A12)=TRUE, 'Fishing Trip'!M12, "")</f>
        <v>Indicator of presence ("Y") or absence ("N") of stratification of units in that level of the sampling hierarchy</v>
      </c>
      <c r="Q13" s="9">
        <f>IF(ISBLANK('Fishing Operation'!A16)=TRUE, 'Fishing Operation'!B16, "")</f>
        <v>0</v>
      </c>
      <c r="R13" s="10" t="str">
        <f>IF(ISBLANK('Fishing Operation'!A11)=TRUE, 'Fishing Operation'!F11, "")</f>
        <v>FOsampler</v>
      </c>
      <c r="S13" s="22" t="str">
        <f>IF(ISBLANK('Fishing Operation'!A11)=TRUE, 'Fishing Operation'!M11, "")</f>
        <v>Self-sampling, Observer, Control, Electronic Monitoring (EM). In the future potential combinations of e.g. observer and EM</v>
      </c>
      <c r="U13" s="9">
        <f>IF(ISBLANK('Species Selection'!A24)=TRUE, 'Species Selection'!B24, "")</f>
        <v>0</v>
      </c>
      <c r="V13" s="10" t="str">
        <f>IF(ISBLANK('Species Selection'!A13)=TRUE,'Species Selection'!F13, "")</f>
        <v>SSclustering</v>
      </c>
      <c r="W13" s="22" t="str">
        <f>IF(ISBLANK('Species Selection'!A13)=TRUE,'Species Selection'!M13, "")</f>
        <v>Indicator existence and type of cluster sampling of units in that level of the sampling hierarchy</v>
      </c>
      <c r="Y13" s="9">
        <f>IF(ISBLANK(Sample!A12)=TRUE, Sample!B12, "")</f>
        <v>0</v>
      </c>
      <c r="Z13" s="10" t="str">
        <f>IF(ISBLANK(Sample!A14)=TRUE, Sample!F14, "")</f>
        <v>SAcatchCategory</v>
      </c>
      <c r="AA13" s="22" t="str">
        <f>IF(ISBLANK(Sample!A14)=TRUE, Sample!M14, "")</f>
        <v>Catch' = catch, 'Dis' = discard, 'Lan' = landing, 'BMS' = Below Minimum reference Size</v>
      </c>
      <c r="AC13" s="9">
        <f>IF(ISBLANK('Frequency Measure'!A8)=TRUE, 'Frequency Measure'!B8, "")</f>
        <v>0</v>
      </c>
      <c r="AD13" s="10">
        <f>IF(ISBLANK('Frequency Measure'!A19)=TRUE, 'Frequency Measure'!F19, "")</f>
        <v>0</v>
      </c>
      <c r="AE13" s="10">
        <f>IF(ISBLANK('Frequency Measure'!A19)=TRUE, 'Frequency Measure'!M19, "")</f>
        <v>0</v>
      </c>
      <c r="AG13" s="9" t="str">
        <f>IF(ISBLANK('Biological Variable'!#REF!)=TRUE, 'Biological Variable'!#REF!, "")</f>
        <v/>
      </c>
      <c r="AH13" s="10" t="str">
        <f>IF(ISBLANK('Biological Variable'!#REF!)=TRUE, 'Biological Variable'!#REF!, "")</f>
        <v/>
      </c>
      <c r="AI13" s="22" t="str">
        <f>IF(ISBLANK('Biological Variable'!#REF!)=TRUE, 'Biological Variable'!#REF!, "")</f>
        <v/>
      </c>
    </row>
    <row r="14" spans="1:35" ht="46.8" x14ac:dyDescent="0.3">
      <c r="I14" s="9" t="str">
        <f>IF(ISBLANK('Vessel Selection'!#REF!)=TRUE, 'Vessel Selection'!#REF!, "")</f>
        <v/>
      </c>
      <c r="J14" s="10" t="str">
        <f>IF(ISBLANK('Vessel Selection'!A13)=TRUE, 'Vessel Selection'!F13, "")</f>
        <v>VSsampler</v>
      </c>
      <c r="K14" s="22" t="str">
        <f>IF(ISBLANK('Vessel Selection'!A13)=TRUE, 'Vessel Selection'!M13, "")</f>
        <v>Self-sampling, Observer, Control, Electronic Monitoring (EM). In the future potential combinations of e.g. observer and EM</v>
      </c>
      <c r="N14" s="10" t="str">
        <f>IF(ISBLANK('Fishing Trip'!A13)=TRUE, 'Fishing Trip'!F13, "")</f>
        <v>FTstratumName</v>
      </c>
      <c r="O14" s="22" t="str">
        <f>IF(ISBLANK('Fishing Trip'!A13)=TRUE, 'Fishing Trip'!M13, "")</f>
        <v>Name of stratum ('U' for unstratified)</v>
      </c>
      <c r="Q14" s="9">
        <f>IF(ISBLANK('Fishing Operation'!A17)=TRUE, 'Fishing Operation'!B17, "")</f>
        <v>0</v>
      </c>
      <c r="R14" s="10" t="str">
        <f>IF(ISBLANK('Fishing Operation'!A12)=TRUE, 'Fishing Operation'!F12, "")</f>
        <v>FOaggregationLevel</v>
      </c>
      <c r="S14" s="22" t="str">
        <f>IF(ISBLANK('Fishing Operation'!A12)=TRUE, 'Fishing Operation'!M12, "")</f>
        <v>Aggrgation level (H=haul. T=trip)</v>
      </c>
      <c r="U14" s="9">
        <f>IF(ISBLANK('Species Selection'!A26)=TRUE, 'Species Selection'!B26, "")</f>
        <v>0</v>
      </c>
      <c r="V14" s="10" t="str">
        <f>IF(ISBLANK('Species Selection'!A14)=TRUE,'Species Selection'!F14, "")</f>
        <v>SSclusterName</v>
      </c>
      <c r="W14" s="22" t="str">
        <f>IF(ISBLANK('Species Selection'!A14)=TRUE,'Species Selection'!M14, "")</f>
        <v>Name or code of the cluster selected for sampling</v>
      </c>
      <c r="Y14" s="9">
        <f>IF(ISBLANK(Sample!A14)=TRUE, Sample!B14, "")</f>
        <v>0</v>
      </c>
      <c r="Z14" s="10" t="str">
        <f>IF(ISBLANK(Sample!A15)=TRUE, Sample!F15, "")</f>
        <v>SAlandingCategory</v>
      </c>
      <c r="AA14" s="22" t="str">
        <f>IF(ISBLANK(Sample!A15)=TRUE, Sample!M15, "")</f>
        <v>The intended usage at the time of landing.</v>
      </c>
      <c r="AC14" s="9">
        <f>IF(ISBLANK('Frequency Measure'!A9)=TRUE, 'Frequency Measure'!B9, "")</f>
        <v>0</v>
      </c>
      <c r="AG14" s="9" t="str">
        <f>IF(ISBLANK('Biological Variable'!#REF!)=TRUE, 'Biological Variable'!#REF!, "")</f>
        <v/>
      </c>
      <c r="AH14" s="10" t="str">
        <f>IF(ISBLANK('Biological Variable'!#REF!)=TRUE, 'Biological Variable'!#REF!, "")</f>
        <v/>
      </c>
      <c r="AI14" s="22" t="str">
        <f>IF(ISBLANK('Biological Variable'!#REF!)=TRUE, 'Biological Variable'!#REF!, "")</f>
        <v/>
      </c>
    </row>
    <row r="15" spans="1:35" ht="46.8" x14ac:dyDescent="0.3">
      <c r="I15" s="9" t="str">
        <f>IF(ISBLANK('Vessel Selection'!#REF!)=TRUE, 'Vessel Selection'!#REF!, "")</f>
        <v/>
      </c>
      <c r="J15" s="10" t="str">
        <f>IF(ISBLANK('Vessel Selection'!A14)=TRUE, 'Vessel Selection'!F14, "")</f>
        <v>VSnumberTotal</v>
      </c>
      <c r="K15" s="22" t="str">
        <f>IF(ISBLANK('Vessel Selection'!A14)=TRUE, 'Vessel Selection'!M14, "")</f>
        <v>Total number of unique vessels in this stratum/cluster.</v>
      </c>
      <c r="N15" s="10" t="str">
        <f>IF(ISBLANK('Fishing Trip'!A14)=TRUE, 'Fishing Trip'!F14, "")</f>
        <v>FTclustering</v>
      </c>
      <c r="O15" s="22" t="str">
        <f>IF(ISBLANK('Fishing Trip'!A14)=TRUE, 'Fishing Trip'!M14, "")</f>
        <v>Indicator existence and type of cluster sampling of units in that level of the sampling hierarchy</v>
      </c>
      <c r="Q15" s="9">
        <f>IF(ISBLANK('Fishing Operation'!A18)=TRUE, 'Fishing Operation'!B18, "")</f>
        <v>0</v>
      </c>
      <c r="R15" s="10" t="str">
        <f>IF(ISBLANK('Fishing Operation'!A13)=TRUE, 'Fishing Operation'!F13, "")</f>
        <v>FOvalidity</v>
      </c>
      <c r="S15" s="22" t="str">
        <f>IF(ISBLANK('Fishing Operation'!A13)=TRUE, 'Fishing Operation'!M13, "")</f>
        <v>Haul validity</v>
      </c>
      <c r="U15" s="9">
        <f>IF(ISBLANK('Species Selection'!A29)=TRUE, 'Species Selection'!B29, "")</f>
        <v>0</v>
      </c>
      <c r="V15" s="10" t="str">
        <f>IF(ISBLANK('Species Selection'!A18)=TRUE,'Species Selection'!F18, "")</f>
        <v>SSsampler</v>
      </c>
      <c r="W15" s="22" t="str">
        <f>IF(ISBLANK('Species Selection'!A18)=TRUE,'Species Selection'!M18, "")</f>
        <v>Self-sampling, Observer, Control, Electronic Monitoring (EM). In the future potential combinations of e.g. observer and EM</v>
      </c>
      <c r="Y15" s="9">
        <f>IF(ISBLANK(Sample!A15)=TRUE, Sample!B15, "")</f>
        <v>0</v>
      </c>
      <c r="Z15" s="10" t="str">
        <f>IF(ISBLANK(Sample!A16)=TRUE, Sample!F16, "")</f>
        <v>SAcommSizeCatScale</v>
      </c>
      <c r="AA15" s="22" t="str">
        <f>IF(ISBLANK(Sample!A16)=TRUE, Sample!M16, "")</f>
        <v>Commercial sorting scale code</v>
      </c>
      <c r="AC15" s="9">
        <f>IF(ISBLANK('Frequency Measure'!A12)=TRUE, 'Frequency Measure'!B12, "")</f>
        <v>0</v>
      </c>
      <c r="AG15" s="9">
        <f>IF(ISBLANK('Biological Variable'!A21)=TRUE, 'Biological Variable'!B21, "")</f>
        <v>0</v>
      </c>
      <c r="AH15" s="10" t="str">
        <f>IF(ISBLANK('Biological Variable'!A21)=TRUE, 'Biological Variable'!F21, "")</f>
        <v>BVnumberTotal</v>
      </c>
      <c r="AI15" s="22" t="str">
        <f>IF(ISBLANK('Biological Variable'!A21)=TRUE, 'Biological Variable'!M21, "")</f>
        <v>Total number of fish in this stratum</v>
      </c>
    </row>
    <row r="16" spans="1:35" ht="93.6" x14ac:dyDescent="0.3">
      <c r="J16" s="10" t="str">
        <f>IF(ISBLANK('Vessel Selection'!A15)=TRUE, 'Vessel Selection'!F15, "")</f>
        <v>VSnumberSampled</v>
      </c>
      <c r="K16" s="22" t="str">
        <f>IF(ISBLANK('Vessel Selection'!A15)=TRUE, 'Vessel Selection'!M15, "")</f>
        <v>The number of times vessels was sampled in this stratum/cluster (not necessarily unique vessels, the same vessel could be sampled multiple times) . If 3 samples was made and one vessel was selected twice, the number of vessels sampled is 3.</v>
      </c>
      <c r="N16" s="10" t="str">
        <f>IF(ISBLANK('Fishing Trip'!A15)=TRUE, 'Fishing Trip'!F15, "")</f>
        <v>FTclusterName</v>
      </c>
      <c r="O16" s="22" t="str">
        <f>IF(ISBLANK('Fishing Trip'!A15)=TRUE, 'Fishing Trip'!M15, "")</f>
        <v>Name or code of the cluster selected for sampling</v>
      </c>
      <c r="Q16" s="9">
        <f>IF(ISBLANK('Fishing Operation'!A19)=TRUE, 'Fishing Operation'!B19, "")</f>
        <v>0</v>
      </c>
      <c r="R16" s="10" t="str">
        <f>IF(ISBLANK('Fishing Operation'!A14)=TRUE, 'Fishing Operation'!F14, "")</f>
        <v>FOcatchReg</v>
      </c>
      <c r="S16" s="22" t="str">
        <f>IF(ISBLANK('Fishing Operation'!A14)=TRUE, 'Fishing Operation'!M14, "")</f>
        <v>Registers what components of catch are expected in the species selection table options</v>
      </c>
      <c r="V16" s="10" t="str">
        <f>IF(ISBLANK('Species Selection'!A19)=TRUE,'Species Selection'!F19, "")</f>
        <v>SSspeciesListName</v>
      </c>
      <c r="W16" s="22" t="str">
        <f>IF(ISBLANK('Species Selection'!A19)=TRUE,'Species Selection'!M19, "")</f>
        <v>National name of the species list</v>
      </c>
      <c r="Y16" s="9">
        <f>IF(ISBLANK(Sample!A16)=TRUE, Sample!B16, "")</f>
        <v>0</v>
      </c>
      <c r="Z16" s="10" t="str">
        <f>IF(ISBLANK(Sample!A17)=TRUE, Sample!F17, "")</f>
        <v>SAcommSizeCat</v>
      </c>
      <c r="AA16" s="22" t="str">
        <f>IF(ISBLANK(Sample!A17)=TRUE, Sample!M17, "")</f>
        <v>Commercial sorting category</v>
      </c>
      <c r="AC16" s="9" t="str">
        <f>IF(ISBLANK('Frequency Measure'!#REF!)=TRUE, 'Frequency Measure'!#REF!, "")</f>
        <v/>
      </c>
      <c r="AG16" s="9">
        <f>IF(ISBLANK('Biological Variable'!A22)=TRUE, 'Biological Variable'!B22, "")</f>
        <v>0</v>
      </c>
      <c r="AH16" s="10" t="str">
        <f>IF(ISBLANK('Biological Variable'!A22)=TRUE, 'Biological Variable'!F22, "")</f>
        <v>BVnumberSampled</v>
      </c>
      <c r="AI16" s="22" t="str">
        <f>IF(ISBLANK('Biological Variable'!A22)=TRUE, 'Biological Variable'!M22, "")</f>
        <v>The number of fish measured in this stratum</v>
      </c>
    </row>
    <row r="17" spans="9:35" ht="46.8" x14ac:dyDescent="0.3">
      <c r="I17" s="9" t="str">
        <f>IF(ISBLANK('Temporal Event'!A2)=TRUE, 'Temporal Event'!B2, "")</f>
        <v/>
      </c>
      <c r="J17" s="10" t="str">
        <f>IF(ISBLANK('Vessel Selection'!#REF!)=TRUE, 'Vessel Selection'!#REF!, "")</f>
        <v/>
      </c>
      <c r="K17" s="22" t="str">
        <f>IF(ISBLANK('Vessel Selection'!#REF!)=TRUE, 'Vessel Selection'!#REF!, "")</f>
        <v/>
      </c>
      <c r="N17" s="10" t="str">
        <f>IF(ISBLANK('Fishing Trip'!A16)=TRUE, 'Fishing Trip'!F16, "")</f>
        <v>FTsampler</v>
      </c>
      <c r="O17" s="22" t="str">
        <f>IF(ISBLANK('Fishing Trip'!A16)=TRUE, 'Fishing Trip'!M16, "")</f>
        <v>Self-sampling, Observer, Control, Electronic Monitoring (EM). In the future potential combinations of e.g. observer and EM</v>
      </c>
      <c r="Q17" s="9">
        <f>IF(ISBLANK('Fishing Operation'!A23)=TRUE, 'Fishing Operation'!B23, "")</f>
        <v>0</v>
      </c>
      <c r="R17" s="10" t="str">
        <f>IF(ISBLANK('Fishing Operation'!A15)=TRUE, 'Fishing Operation'!F15, "")</f>
        <v>FOstartDate</v>
      </c>
      <c r="S17" s="22" t="str">
        <f>IF(ISBLANK('Fishing Operation'!A15)=TRUE, 'Fishing Operation'!M15, "")</f>
        <v>Date when of the gear start. "YYYY-MM-DD" (UTC). date of shooting (active) or last setting (passive) of the gear.</v>
      </c>
      <c r="V17" s="10" t="str">
        <f>IF(ISBLANK('Species Selection'!A24)=TRUE,'Species Selection'!F24, "")</f>
        <v>SSnumberTotal</v>
      </c>
      <c r="W17" s="22" t="str">
        <f>IF(ISBLANK('Species Selection'!A24)=TRUE,'Species Selection'!M24, "")</f>
        <v>Number of species from the list that are present in the strata*fraction</v>
      </c>
      <c r="Y17" s="9">
        <f>IF(ISBLANK(Sample!A17)=TRUE, Sample!B17, "")</f>
        <v>0</v>
      </c>
      <c r="Z17" s="10" t="str">
        <f>IF(ISBLANK(Sample!A18)=TRUE, Sample!F18, "")</f>
        <v>SAsex</v>
      </c>
      <c r="AA17" s="22" t="str">
        <f>IF(ISBLANK(Sample!A18)=TRUE, Sample!M18, "")</f>
        <v>Sex</v>
      </c>
      <c r="AC17" s="9" t="str">
        <f>IF(ISBLANK('Frequency Measure'!#REF!)=TRUE, 'Frequency Measure'!#REF!, "")</f>
        <v/>
      </c>
      <c r="AG17" s="9" t="str">
        <f>IF(ISBLANK('Biological Variable'!#REF!)=TRUE, 'Biological Variable'!#REF!, "")</f>
        <v/>
      </c>
      <c r="AH17" s="10" t="str">
        <f>IF(ISBLANK('Biological Variable'!#REF!)=TRUE, 'Biological Variable'!#REF!, "")</f>
        <v/>
      </c>
      <c r="AI17" s="22" t="str">
        <f>IF(ISBLANK('Biological Variable'!#REF!)=TRUE, 'Biological Variable'!#REF!, "")</f>
        <v/>
      </c>
    </row>
    <row r="18" spans="9:35" ht="46.8" x14ac:dyDescent="0.3">
      <c r="I18" s="9" t="str">
        <f>IF(ISBLANK('Temporal Event'!A3)=TRUE, 'Temporal Event'!B3, "")</f>
        <v/>
      </c>
      <c r="J18" s="10" t="str">
        <f>IF(ISBLANK('Vessel Selection'!A18)=TRUE, 'Vessel Selection'!F18, "")</f>
        <v>VSselectionMethod</v>
      </c>
      <c r="K18" s="22" t="str">
        <f>IF(ISBLANK('Vessel Selection'!A18)=TRUE, 'Vessel Selection'!M18, "")</f>
        <v>The method of selecting vessels for sampling</v>
      </c>
      <c r="N18" s="10" t="str">
        <f>IF(ISBLANK('Fishing Trip'!A18)=TRUE, 'Fishing Trip'!F18, "")</f>
        <v>FTnumberOfHaulsOrSets</v>
      </c>
      <c r="O18" s="22" t="str">
        <f>IF(ISBLANK('Fishing Trip'!A18)=TRUE, 'Fishing Trip'!M18, "")</f>
        <v>Number of hauls/sets taken during the trip. Mandatory when FTsampler == "Observer” and FTsamplingType == “at-sea”.</v>
      </c>
      <c r="Q18" s="9">
        <f>IF(ISBLANK('Fishing Operation'!A24)=TRUE, 'Fishing Operation'!B24, "")</f>
        <v>0</v>
      </c>
      <c r="R18" s="10" t="str">
        <f>IF(ISBLANK('Fishing Operation'!A16)=TRUE, 'Fishing Operation'!F16, "")</f>
        <v>FOstartTime</v>
      </c>
      <c r="S18" s="22" t="str">
        <f>IF(ISBLANK('Fishing Operation'!A16)=TRUE, 'Fishing Operation'!M16, "")</f>
        <v>Time when of the gear start. "HH:MM"… in UTC. Time of shooting (active) or last setting (passive) of the gear-</v>
      </c>
      <c r="V18" s="10" t="str">
        <f>IF(ISBLANK('Species Selection'!A26)=TRUE,'Species Selection'!F26, "")</f>
        <v>SSnumberSampled</v>
      </c>
      <c r="W18" s="22" t="str">
        <f>IF(ISBLANK('Species Selection'!A26)=TRUE,'Species Selection'!M26, "")</f>
        <v>Number of species selected for sampling</v>
      </c>
      <c r="Y18" s="9">
        <f>IF(ISBLANK(Sample!A18)=TRUE, Sample!B18, "")</f>
        <v>0</v>
      </c>
      <c r="Z18" s="10" t="str">
        <f>IF(ISBLANK(Sample!A36)=TRUE, Sample!F36, "")</f>
        <v>SAunitType</v>
      </c>
      <c r="AA18" s="22" t="str">
        <f>IF(ISBLANK(Sample!A36)=TRUE, Sample!M36, "")</f>
        <v>The type of sampling unit</v>
      </c>
      <c r="AC18" s="9" t="str">
        <f>IF(ISBLANK('Frequency Measure'!#REF!)=TRUE, 'Frequency Measure'!#REF!, "")</f>
        <v/>
      </c>
      <c r="AG18" s="9">
        <f>IF(ISBLANK('Biological Variable'!A25)=TRUE, 'Biological Variable'!B25, "")</f>
        <v>0</v>
      </c>
      <c r="AH18" s="10" t="str">
        <f>IF(ISBLANK('Biological Variable'!A25)=TRUE, 'Biological Variable'!F25, "")</f>
        <v>BVselectionMethod</v>
      </c>
      <c r="AI18" s="22" t="str">
        <f>IF(ISBLANK('Biological Variable'!A25)=TRUE, 'Biological Variable'!M25, "")</f>
        <v>The method of selecting fish</v>
      </c>
    </row>
    <row r="19" spans="9:35" ht="109.2" x14ac:dyDescent="0.3">
      <c r="I19" s="9">
        <f>IF(ISBLANK('Temporal Event'!A9)=TRUE, 'Temporal Event'!B9, "")</f>
        <v>0</v>
      </c>
      <c r="J19" s="10" t="str">
        <f>IF(ISBLANK('Vessel Selection'!A19)=TRUE, 'Vessel Selection'!F19, "")</f>
        <v>VSunitName</v>
      </c>
      <c r="K19" s="22" t="str">
        <f>IF(ISBLANK('Vessel Selection'!A19)=TRUE, 'Vessel Selection'!M19, "")</f>
        <v>The unique name of this unit.  Indicate a sampling unit may appear more than once. Can be national identfier for the vessel, frequently similary to the encrypted vessel identifyer. Do not use the real name of  vessel or anything that can identify the vessel. e.g. "Vessel1", etc.</v>
      </c>
      <c r="N19" s="10" t="str">
        <f>IF(ISBLANK('Fishing Trip'!A19)=TRUE, 'Fishing Trip'!F19, "")</f>
        <v>FTdepartureLocation</v>
      </c>
      <c r="O19" s="22" t="str">
        <f>IF(ISBLANK('Fishing Trip'!A19)=TRUE, 'Fishing Trip'!M19, "")</f>
        <v>LOCODE of departure Location. Mandatory when FTsampler == "Observer” and FTsamplingType == “at-sea”</v>
      </c>
      <c r="Q19" s="9">
        <f>IF(ISBLANK('Fishing Operation'!A25)=TRUE, 'Fishing Operation'!B25, "")</f>
        <v>0</v>
      </c>
      <c r="R19" s="10" t="str">
        <f>IF(ISBLANK('Fishing Operation'!A17)=TRUE, 'Fishing Operation'!F17, "")</f>
        <v>FOendDate</v>
      </c>
      <c r="S19" s="22" t="str">
        <f>IF(ISBLANK('Fishing Operation'!A17)=TRUE, 'Fishing Operation'!M17, "")</f>
        <v>Date when the fishing operation ends or catch is removed (e.g., if the gear remains in water).  "YYYY-MM-DD" (UTC). If FOaggregationLevel == T, this coincides with arrivalDate of trip.</v>
      </c>
      <c r="V19" s="10" t="str">
        <f>IF(ISBLANK('Species Selection'!A29)=TRUE,'Species Selection'!F29, "")</f>
        <v>SSselectionMethod</v>
      </c>
      <c r="W19" s="22" t="str">
        <f>IF(ISBLANK('Species Selection'!A29)=TRUE,'Species Selection'!M29, "")</f>
        <v>The method of selecting species for sampling</v>
      </c>
      <c r="Y19" s="9">
        <f>IF(ISBLANK(Sample!A36)=TRUE, Sample!B36, "")</f>
        <v>0</v>
      </c>
      <c r="Z19" s="10" t="str">
        <f>IF(ISBLANK(Sample!A37)=TRUE, Sample!F37, "")</f>
        <v>SAtotalWeightLive</v>
      </c>
      <c r="AA19" s="22" t="str">
        <f>IF(ISBLANK(Sample!A37)=TRUE, Sample!M37, "")</f>
        <v>Whole weight in grammes.</v>
      </c>
      <c r="AC19" s="9" t="str">
        <f>IF(ISBLANK('Frequency Measure'!#REF!)=TRUE, 'Frequency Measure'!#REF!, "")</f>
        <v/>
      </c>
      <c r="AG19" s="9">
        <f>IF(ISBLANK('Biological Variable'!A27)=TRUE, 'Biological Variable'!B27, "")</f>
        <v>0</v>
      </c>
      <c r="AH19" s="10" t="str">
        <f>IF(ISBLANK('Biological Variable'!A27)=TRUE, 'Biological Variable'!F27, "")</f>
        <v>BVsampler</v>
      </c>
      <c r="AI19" s="22" t="str">
        <f>IF(ISBLANK('Biological Variable'!A27)=TRUE, 'Biological Variable'!M27, "")</f>
        <v>Self-sampling, Observer, Control, Electronic Monitoring (EM). In the future potential combinations of e.g. observer and EM</v>
      </c>
    </row>
    <row r="20" spans="9:35" ht="62.4" x14ac:dyDescent="0.3">
      <c r="I20" s="9">
        <f>IF(ISBLANK('Temporal Event'!A10)=TRUE, 'Temporal Event'!B10, "")</f>
        <v>0</v>
      </c>
      <c r="J20" s="10" t="str">
        <f>IF(ISBLANK('Vessel Selection'!A20)=TRUE, 'Vessel Selection'!F20, "")</f>
        <v>VSselectionMethodCluster</v>
      </c>
      <c r="K20" s="22" t="str">
        <f>IF(ISBLANK('Vessel Selection'!A20)=TRUE, 'Vessel Selection'!M20, "")</f>
        <v>The method of selecting clusters</v>
      </c>
      <c r="N20" s="10" t="str">
        <f>IF(ISBLANK('Fishing Trip'!A20)=TRUE, 'Fishing Trip'!F20, "")</f>
        <v>FTdepartureDate</v>
      </c>
      <c r="O20" s="22" t="str">
        <f>IF(ISBLANK('Fishing Trip'!A20)=TRUE, 'Fishing Trip'!M20, "")</f>
        <v>Departure date</v>
      </c>
      <c r="Q20" s="9">
        <f>IF(ISBLANK('Fishing Operation'!A26)=TRUE, 'Fishing Operation'!B26, "")</f>
        <v>0</v>
      </c>
      <c r="R20" s="10" t="str">
        <f>IF(ISBLANK('Fishing Operation'!A18)=TRUE, 'Fishing Operation'!F18, "")</f>
        <v>FOendTime</v>
      </c>
      <c r="S20" s="22" t="str">
        <f>IF(ISBLANK('Fishing Operation'!A18)=TRUE, 'Fishing Operation'!M18, "")</f>
        <v>Time when the fishing operation ends or catch is removed (e.g., if the gear remains in water). "HH:MM"… in UTC. Mandatory when FTsampler == “Observer” and FTsamplingType == “at-sea”.</v>
      </c>
      <c r="V20" s="10" t="str">
        <f>IF(ISBLANK('Species Selection'!A31)=TRUE,'Species Selection'!F31, "")</f>
        <v>SSselectionMethodCluster</v>
      </c>
      <c r="W20" s="22" t="str">
        <f>IF(ISBLANK('Species Selection'!A31)=TRUE,'Species Selection'!M31, "")</f>
        <v>The method of selecting clusters</v>
      </c>
      <c r="Y20" s="9">
        <f>IF(ISBLANK(Sample!A37)=TRUE, Sample!B37, "")</f>
        <v>0</v>
      </c>
      <c r="Z20" s="10" t="str">
        <f>IF(ISBLANK(Sample!A38)=TRUE, Sample!F38, "")</f>
        <v>SAsampleWeightLive</v>
      </c>
      <c r="AA20" s="22" t="str">
        <f>IF(ISBLANK(Sample!A38)=TRUE, Sample!M38, "")</f>
        <v>Whole weight in grammes of the sample.</v>
      </c>
      <c r="AC20" s="9" t="str">
        <f>IF(ISBLANK('Frequency Measure'!#REF!)=TRUE, 'Frequency Measure'!#REF!, "")</f>
        <v/>
      </c>
      <c r="AH20" s="10">
        <f>IF(ISBLANK('Biological Variable'!A28)=TRUE, 'Biological Variable'!F28, "")</f>
        <v>0</v>
      </c>
      <c r="AI20" s="10">
        <f>IF(ISBLANK('Biological Variable'!A28)=TRUE, 'Biological Variable'!M28, "")</f>
        <v>0</v>
      </c>
    </row>
    <row r="21" spans="9:35" ht="46.8" x14ac:dyDescent="0.3">
      <c r="I21" s="9">
        <f>IF(ISBLANK('Temporal Event'!A14)=TRUE, 'Temporal Event'!B14, "")</f>
        <v>0</v>
      </c>
      <c r="J21" s="10" t="str">
        <f>IF(ISBLANK('Vessel Selection'!A21)=TRUE, 'Vessel Selection'!F21, "")</f>
        <v>VSnumberTotalClusters</v>
      </c>
      <c r="K21" s="22" t="str">
        <f>IF(ISBLANK('Vessel Selection'!A21)=TRUE, 'Vessel Selection'!M21, "")</f>
        <v>Total number of clusters in that level of the sampling hierarchy</v>
      </c>
      <c r="N21" s="10" t="str">
        <f>IF(ISBLANK('Fishing Trip'!A21)=TRUE, 'Fishing Trip'!F21, "")</f>
        <v>FTdepartureTime</v>
      </c>
      <c r="O21" s="22" t="str">
        <f>IF(ISBLANK('Fishing Trip'!A21)=TRUE, 'Fishing Trip'!M21, "")</f>
        <v>Departure time. Mandatory when FTsampler == "Observer” and FTsamplingType == “at-sea”</v>
      </c>
      <c r="Q21" s="9">
        <f>IF(ISBLANK('Fishing Operation'!A27)=TRUE, 'Fishing Operation'!B27, "")</f>
        <v>0</v>
      </c>
      <c r="R21" s="10" t="str">
        <f>IF(ISBLANK('Fishing Operation'!A19)=TRUE, 'Fishing Operation'!F19, "")</f>
        <v>FOduration</v>
      </c>
      <c r="S21" s="22" t="str">
        <f>IF(ISBLANK('Fishing Operation'!A19)=TRUE, 'Fishing Operation'!M19, "")</f>
        <v>Time spent towing (active) or soaking (passive) in minutes . Mandatory when FTsampler == “Observer” and FTsamplingType == “at-sea”.</v>
      </c>
      <c r="V21" s="10" t="str">
        <f>IF(ISBLANK('Species Selection'!A32)=TRUE,'Species Selection'!F32, "")</f>
        <v>SSnumberTotalClusters</v>
      </c>
      <c r="W21" s="22" t="str">
        <f>IF(ISBLANK('Species Selection'!A32)=TRUE,'Species Selection'!M32, "")</f>
        <v>Total number of clusters in that level of the sampling hierarchy</v>
      </c>
      <c r="Y21" s="9">
        <f>IF(ISBLANK(Sample!A38)=TRUE, Sample!B38, "")</f>
        <v>0</v>
      </c>
      <c r="Z21" s="10" t="str">
        <f>IF(ISBLANK(Sample!A39)=TRUE, Sample!F39, "")</f>
        <v>SAnumberTotal</v>
      </c>
      <c r="AA21" s="22" t="str">
        <f>IF(ISBLANK(Sample!A39)=TRUE, Sample!M39, "")</f>
        <v>Total number of units in this stratum</v>
      </c>
      <c r="AC21" s="9" t="str">
        <f>IF(ISBLANK('Frequency Measure'!#REF!)=TRUE, 'Frequency Measure'!#REF!, "")</f>
        <v/>
      </c>
    </row>
    <row r="22" spans="9:35" x14ac:dyDescent="0.3">
      <c r="I22" s="9">
        <f>IF(ISBLANK('Temporal Event'!A15)=TRUE, 'Temporal Event'!B15, "")</f>
        <v>0</v>
      </c>
      <c r="J22" s="10" t="str">
        <f>IF(ISBLANK('Vessel Selection'!A22)=TRUE, 'Vessel Selection'!F22, "")</f>
        <v>VSnumberSampledClusters</v>
      </c>
      <c r="K22" s="22" t="str">
        <f>IF(ISBLANK('Vessel Selection'!A22)=TRUE, 'Vessel Selection'!M22, "")</f>
        <v>Total number of clusters sampled</v>
      </c>
      <c r="N22" s="10" t="str">
        <f>IF(ISBLANK('Fishing Trip'!A22)=TRUE, 'Fishing Trip'!F22, "")</f>
        <v>FTarrivalLocation</v>
      </c>
      <c r="O22" s="22" t="str">
        <f>IF(ISBLANK('Fishing Trip'!A22)=TRUE, 'Fishing Trip'!M22, "")</f>
        <v>LOCODE of arrival location</v>
      </c>
      <c r="Q22" s="9">
        <f>IF(ISBLANK('Fishing Operation'!A28)=TRUE, 'Fishing Operation'!B28, "")</f>
        <v>0</v>
      </c>
      <c r="R22" s="10" t="str">
        <f>IF(ISBLANK('Fishing Operation'!A23)=TRUE, 'Fishing Operation'!F23, "")</f>
        <v>FOstartLat</v>
      </c>
      <c r="S22" s="22" t="str">
        <f>IF(ISBLANK('Fishing Operation'!A23)=TRUE, 'Fishing Operation'!M23, "")</f>
        <v>Shooting (start) position in decimal degrees of latitude.</v>
      </c>
      <c r="V22" s="10" t="str">
        <f>IF(ISBLANK('Species Selection'!A33)=TRUE,'Species Selection'!F33, "")</f>
        <v>SSnumberSampledClusters</v>
      </c>
      <c r="W22" s="22" t="str">
        <f>IF(ISBLANK('Species Selection'!A33)=TRUE,'Species Selection'!M33, "")</f>
        <v>Total number of clusters sampled</v>
      </c>
      <c r="Y22" s="9">
        <f>IF(ISBLANK(Sample!A39)=TRUE, Sample!B39, "")</f>
        <v>0</v>
      </c>
      <c r="Z22" s="10" t="str">
        <f>IF(ISBLANK(Sample!A40)=TRUE, Sample!F40, "")</f>
        <v>SAnumberSampled</v>
      </c>
      <c r="AA22" s="22" t="str">
        <f>IF(ISBLANK(Sample!A40)=TRUE, Sample!M40, "")</f>
        <v>The number of units sampled in this stratum</v>
      </c>
    </row>
    <row r="23" spans="9:35" x14ac:dyDescent="0.3">
      <c r="I23" s="9" t="str">
        <f>IF(ISBLANK('Temporal Event'!#REF!)=TRUE, 'Temporal Event'!#REF!, "")</f>
        <v/>
      </c>
      <c r="J23" s="10" t="str">
        <f>IF(ISBLANK('Vessel Selection'!#REF!)=TRUE, 'Vessel Selection'!#REF!, "")</f>
        <v/>
      </c>
      <c r="K23" s="22" t="str">
        <f>IF(ISBLANK('Vessel Selection'!#REF!)=TRUE, 'Vessel Selection'!#REF!, "")</f>
        <v/>
      </c>
      <c r="N23" s="10" t="str">
        <f>IF(ISBLANK('Fishing Trip'!A23)=TRUE, 'Fishing Trip'!F23, "")</f>
        <v>FTarrivalDate</v>
      </c>
      <c r="O23" s="22" t="str">
        <f>IF(ISBLANK('Fishing Trip'!A23)=TRUE, 'Fishing Trip'!M23, "")</f>
        <v>Arrival Date</v>
      </c>
      <c r="Q23" s="9">
        <f>IF(ISBLANK('Fishing Operation'!A29)=TRUE, 'Fishing Operation'!B29, "")</f>
        <v>0</v>
      </c>
      <c r="R23" s="10" t="str">
        <f>IF(ISBLANK('Fishing Operation'!A24)=TRUE, 'Fishing Operation'!F24, "")</f>
        <v>FOstartLon</v>
      </c>
      <c r="S23" s="22" t="str">
        <f>IF(ISBLANK('Fishing Operation'!A24)=TRUE, 'Fishing Operation'!M24, "")</f>
        <v>Shooting (start) position in decimal degrees of longitude.</v>
      </c>
      <c r="V23" s="10" t="str">
        <f>IF(ISBLANK('Species Selection'!#REF!)=TRUE,'Species Selection'!#REF!, "")</f>
        <v/>
      </c>
      <c r="W23" s="22" t="str">
        <f>IF(ISBLANK('Species Selection'!#REF!)=TRUE,'Species Selection'!#REF!, "")</f>
        <v/>
      </c>
      <c r="Y23" s="9">
        <f>IF(ISBLANK(Sample!A40)=TRUE, Sample!B40, "")</f>
        <v>0</v>
      </c>
      <c r="Z23" s="10" t="str">
        <f>IF(ISBLANK(Sample!#REF!)=TRUE, Sample!#REF!, "")</f>
        <v/>
      </c>
      <c r="AA23" s="22" t="str">
        <f>IF(ISBLANK(Sample!#REF!)=TRUE, Sample!#REF!, "")</f>
        <v/>
      </c>
    </row>
    <row r="24" spans="9:35" ht="31.2" x14ac:dyDescent="0.3">
      <c r="I24" s="9">
        <f>IF(ISBLANK('Temporal Event'!A18)=TRUE, 'Temporal Event'!B18, "")</f>
        <v>0</v>
      </c>
      <c r="J24" s="10" t="str">
        <f>IF(ISBLANK('Vessel Selection'!A26)=TRUE, 'Vessel Selection'!F26, "")</f>
        <v>VSreasonNotSampled</v>
      </c>
      <c r="K24" s="22" t="str">
        <f>IF(ISBLANK('Vessel Selection'!A26)=TRUE, 'Vessel Selection'!M26, "")</f>
        <v>Reason for not sampling</v>
      </c>
      <c r="N24" s="10" t="str">
        <f>IF(ISBLANK('Fishing Trip'!A24)=TRUE, 'Fishing Trip'!F24, "")</f>
        <v>FTarrivalTime</v>
      </c>
      <c r="O24" s="22" t="str">
        <f>IF(ISBLANK('Fishing Trip'!A24)=TRUE, 'Fishing Trip'!M24, "")</f>
        <v>Arrival time. Mandatory when FTsampler == "Observer” and FTsamplingType == “at-sea”</v>
      </c>
      <c r="Q24" s="9">
        <f>IF(ISBLANK('Fishing Operation'!A32)=TRUE, 'Fishing Operation'!B32, "")</f>
        <v>0</v>
      </c>
      <c r="R24" s="10" t="str">
        <f>IF(ISBLANK('Fishing Operation'!A25)=TRUE, 'Fishing Operation'!F25, "")</f>
        <v>FOstopLat</v>
      </c>
      <c r="S24" s="22" t="str">
        <f>IF(ISBLANK('Fishing Operation'!A25)=TRUE, 'Fishing Operation'!M25, "")</f>
        <v>Hauling (stop) position in decimal degrees of latitude.</v>
      </c>
      <c r="V24" s="10" t="str">
        <f>IF(ISBLANK('Species Selection'!A37)=TRUE,'Species Selection'!F37, "")</f>
        <v>SSreasonNotSampled</v>
      </c>
      <c r="W24" s="22" t="str">
        <f>IF(ISBLANK('Species Selection'!A37)=TRUE,'Species Selection'!M37, "")</f>
        <v>Reason for not sampling</v>
      </c>
      <c r="Y24" s="9" t="str">
        <f>IF(ISBLANK(Sample!#REF!)=TRUE, Sample!#REF!, "")</f>
        <v/>
      </c>
      <c r="Z24" s="10" t="str">
        <f>IF(ISBLANK(Sample!A43)=TRUE, Sample!F43, "")</f>
        <v>SAselectionMethod</v>
      </c>
      <c r="AA24" s="22" t="str">
        <f>IF(ISBLANK(Sample!A43)=TRUE, Sample!M43, "")</f>
        <v>The method of selecting units for sampling</v>
      </c>
    </row>
    <row r="25" spans="9:35" ht="31.2" x14ac:dyDescent="0.3">
      <c r="I25" s="9" t="str">
        <f>IF(ISBLANK('Temporal Event'!#REF!)=TRUE, 'Temporal Event'!#REF!, "")</f>
        <v/>
      </c>
      <c r="J25" s="10" t="str">
        <f>IF(ISBLANK('Vessel Selection'!A27)=TRUE, 'Vessel Selection'!F27, "")</f>
        <v>VSnonResponseCollected</v>
      </c>
      <c r="K25" s="22" t="str">
        <f>IF(ISBLANK('Vessel Selection'!A27)=TRUE, 'Vessel Selection'!M27, "")</f>
        <v>Indicate whether non-responses were recorded at this sampling level.</v>
      </c>
      <c r="N25" s="10" t="str">
        <f>IF(ISBLANK('Fishing Trip'!A26)=TRUE, 'Fishing Trip'!F26, "")</f>
        <v>FTnumberTotal</v>
      </c>
      <c r="O25" s="22" t="str">
        <f>IF(ISBLANK('Fishing Trip'!A26)=TRUE, 'Fishing Trip'!M26, "")</f>
        <v>Total number of unique trips in the stratum/cluster.</v>
      </c>
      <c r="Q25" s="9" t="str">
        <f>IF(ISBLANK('Fishing Operation'!#REF!)=TRUE, 'Fishing Operation'!#REF!, "")</f>
        <v/>
      </c>
      <c r="R25" s="10" t="str">
        <f>IF(ISBLANK('Fishing Operation'!A26)=TRUE, 'Fishing Operation'!F26, "")</f>
        <v>FOstopLon</v>
      </c>
      <c r="S25" s="22" t="str">
        <f>IF(ISBLANK('Fishing Operation'!A26)=TRUE, 'Fishing Operation'!M26, "")</f>
        <v>Hauling (stop) position in decimal degrees of longitude.</v>
      </c>
      <c r="U25" s="9" t="str">
        <f>IF(ISBLANK(#REF!)=TRUE,#REF!, "")</f>
        <v/>
      </c>
      <c r="V25" s="10" t="str">
        <f>IF(ISBLANK('Species Selection'!A38)=TRUE,'Species Selection'!F38, "")</f>
        <v>SSnonResponseCollected</v>
      </c>
      <c r="W25" s="22" t="str">
        <f>IF(ISBLANK('Species Selection'!A38)=TRUE,'Species Selection'!M38, "")</f>
        <v>Indicate whether non-responses were recorded at this sampling level.</v>
      </c>
      <c r="Y25" s="9">
        <f>IF(ISBLANK(Sample!A43)=TRUE, Sample!B43, "")</f>
        <v>0</v>
      </c>
      <c r="Z25" s="10" t="str">
        <f>IF(ISBLANK(Sample!A45)=TRUE, Sample!F45, "")</f>
        <v>SAlowerHierarchy</v>
      </c>
      <c r="AA25" s="22" t="str">
        <f>IF(ISBLANK(Sample!A45)=TRUE, Sample!M45, "")</f>
        <v>The Lower Hierarchy that will be used for this Sample/Subsample</v>
      </c>
    </row>
    <row r="26" spans="9:35" ht="46.8" x14ac:dyDescent="0.3">
      <c r="N26" s="10" t="str">
        <f>IF(ISBLANK('Fishing Trip'!A27)=TRUE, 'Fishing Trip'!F27, "")</f>
        <v>FTnumberSampled</v>
      </c>
      <c r="O26" s="22" t="str">
        <f>IF(ISBLANK('Fishing Trip'!A27)=TRUE, 'Fishing Trip'!M27, "")</f>
        <v>The number of trips sampled in this stratum/cluster.</v>
      </c>
      <c r="Q26" s="9">
        <f>IF(ISBLANK('Fishing Operation'!A35)=TRUE, 'Fishing Operation'!B35, "")</f>
        <v>0</v>
      </c>
      <c r="R26" s="10" t="str">
        <f>IF(ISBLANK('Fishing Operation'!A27)=TRUE, 'Fishing Operation'!F27, "")</f>
        <v>FOexclusiveEconomicZoneIndicator</v>
      </c>
      <c r="S26" s="22" t="str">
        <f>IF(ISBLANK('Fishing Operation'!A27)=TRUE, 'Fishing Operation'!M27, "")</f>
        <v>Exclusive Economic Zone indicator.</v>
      </c>
      <c r="U26" s="9" t="str">
        <f>IF(ISBLANK(#REF!)=TRUE,#REF!, "")</f>
        <v/>
      </c>
      <c r="Y26" s="9">
        <f>IF(ISBLANK(Sample!A45)=TRUE, Sample!B45, "")</f>
        <v>0</v>
      </c>
      <c r="Z26" s="10" t="str">
        <f>IF(ISBLANK(Sample!A46)=TRUE, Sample!F46, "")</f>
        <v>SAsampler</v>
      </c>
      <c r="AA26" s="22" t="str">
        <f>IF(ISBLANK(Sample!A46)=TRUE, Sample!M46, "")</f>
        <v>Self-sampling, Observer, Control, Electronic Monitoring (EM). In the future potential combinations of e.g. observer and EM</v>
      </c>
    </row>
    <row r="27" spans="9:35" x14ac:dyDescent="0.3">
      <c r="J27" s="24" t="s">
        <v>518</v>
      </c>
      <c r="K27" s="11"/>
      <c r="N27" s="10" t="str">
        <f>IF(ISBLANK('Fishing Trip'!#REF!)=TRUE, 'Fishing Trip'!#REF!, "")</f>
        <v/>
      </c>
      <c r="O27" s="22" t="str">
        <f>IF(ISBLANK('Fishing Trip'!#REF!)=TRUE, 'Fishing Trip'!#REF!, "")</f>
        <v/>
      </c>
      <c r="Q27" s="9">
        <f>IF(ISBLANK('Fishing Operation'!A36)=TRUE, 'Fishing Operation'!B36, "")</f>
        <v>0</v>
      </c>
      <c r="R27" s="10" t="str">
        <f>IF(ISBLANK('Fishing Operation'!A28)=TRUE, 'Fishing Operation'!F28, "")</f>
        <v>FOarea</v>
      </c>
      <c r="S27" s="22" t="str">
        <f>IF(ISBLANK('Fishing Operation'!A28)=TRUE, 'Fishing Operation'!M28, "")</f>
        <v>Area level 3 in the DCR.</v>
      </c>
      <c r="U27" s="9" t="str">
        <f>IF(ISBLANK(#REF!)=TRUE,#REF!, "")</f>
        <v/>
      </c>
      <c r="Y27" s="9">
        <f>IF(ISBLANK(Sample!A46)=TRUE, Sample!B46, "")</f>
        <v>0</v>
      </c>
      <c r="Z27" s="10" t="str">
        <f>IF(ISBLANK(Sample!A50)=TRUE, Sample!F50, "")</f>
        <v>SAreasonNotSampledFM</v>
      </c>
      <c r="AA27" s="22" t="str">
        <f>IF(ISBLANK(Sample!A50)=TRUE, Sample!M50, "")</f>
        <v>Reason for not sampling freq</v>
      </c>
    </row>
    <row r="28" spans="9:35" x14ac:dyDescent="0.3">
      <c r="J28" s="10" t="str">
        <f>IF(ISBLANK('Temporal Event'!A2)=TRUE, 'Temporal Event'!F2, "")</f>
        <v/>
      </c>
      <c r="K28" s="22" t="str">
        <f>IF(ISBLANK('Temporal Event'!A2)=TRUE, 'Temporal Event'!M2, "")</f>
        <v/>
      </c>
      <c r="N28" s="10" t="str">
        <f>IF(ISBLANK('Fishing Trip'!A30)=TRUE, 'Fishing Trip'!F30, "")</f>
        <v>FTselectionMethod</v>
      </c>
      <c r="O28" s="22" t="str">
        <f>IF(ISBLANK('Fishing Trip'!A30)=TRUE, 'Fishing Trip'!M30, "")</f>
        <v>The method of selecting fishing trips for sampling</v>
      </c>
      <c r="Q28" s="9">
        <f>IF(ISBLANK('Fishing Operation'!A37)=TRUE, 'Fishing Operation'!B37, "")</f>
        <v>0</v>
      </c>
      <c r="R28" s="10" t="str">
        <f>IF(ISBLANK('Fishing Operation'!A29)=TRUE, 'Fishing Operation'!F29, "")</f>
        <v>FOrectangle</v>
      </c>
      <c r="S28" s="22" t="str">
        <f>IF(ISBLANK('Fishing Operation'!A29)=TRUE, 'Fishing Operation'!M29, "")</f>
        <v>Area level 5 in the DCR</v>
      </c>
      <c r="U28" s="9" t="str">
        <f>IF(ISBLANK(#REF!)=TRUE,#REF!, "")</f>
        <v/>
      </c>
      <c r="V28" s="11" t="s">
        <v>514</v>
      </c>
      <c r="W28" s="11"/>
      <c r="Y28" s="9">
        <f>IF(ISBLANK(Sample!A50)=TRUE, Sample!B50, "")</f>
        <v>0</v>
      </c>
      <c r="Z28" s="10" t="str">
        <f>IF(ISBLANK(Sample!A51)=TRUE, Sample!F51, "")</f>
        <v>SAreasonNotSampledBV</v>
      </c>
      <c r="AA28" s="22" t="str">
        <f>IF(ISBLANK(Sample!A51)=TRUE, Sample!M51, "")</f>
        <v>Reason for not sampling biovar</v>
      </c>
    </row>
    <row r="29" spans="9:35" ht="31.2" x14ac:dyDescent="0.3">
      <c r="J29" s="10" t="str">
        <f>IF(ISBLANK('Temporal Event'!A3)=TRUE, 'Temporal Event'!F3, "")</f>
        <v/>
      </c>
      <c r="K29" s="22" t="str">
        <f>IF(ISBLANK('Temporal Event'!A3)=TRUE, 'Temporal Event'!M3, "")</f>
        <v/>
      </c>
      <c r="N29" s="10" t="str">
        <f>IF(ISBLANK('Fishing Trip'!A32)=TRUE, 'Fishing Trip'!F32, "")</f>
        <v>FTselectionMethodCluster</v>
      </c>
      <c r="O29" s="22" t="str">
        <f>IF(ISBLANK('Fishing Trip'!A32)=TRUE, 'Fishing Trip'!M32, "")</f>
        <v>The method of selecting clusters</v>
      </c>
      <c r="Q29" s="9">
        <f>IF(ISBLANK('Fishing Operation'!A38)=TRUE, 'Fishing Operation'!B38, "")</f>
        <v>0</v>
      </c>
      <c r="R29" s="10" t="str">
        <f>IF(ISBLANK('Fishing Operation'!A32)=TRUE, 'Fishing Operation'!F32, "")</f>
        <v>FOjurisdictionArea</v>
      </c>
      <c r="S29" s="22" t="str">
        <f>IF(ISBLANK('Fishing Operation'!A32)=TRUE, 'Fishing Operation'!M32, "")</f>
        <v xml:space="preserve">Area belonging to a country or a part of an area among others used by Long Distance Fisheries. </v>
      </c>
      <c r="U29" s="9" t="str">
        <f>IF(ISBLANK(#REF!)=TRUE,#REF!, "")</f>
        <v/>
      </c>
      <c r="V29" s="10" t="str">
        <f>IF(ISBLANK(#REF!)=TRUE,#REF!, "")</f>
        <v/>
      </c>
      <c r="W29" s="10" t="str">
        <f>IF(ISBLANK(#REF!)=TRUE,#REF!, "")</f>
        <v/>
      </c>
      <c r="Y29" s="9">
        <f>IF(ISBLANK(Sample!A65)=TRUE, Sample!B51, "")</f>
        <v>0</v>
      </c>
      <c r="Z29" s="10" t="str">
        <f>IF(ISBLANK(Sample!A52)=TRUE, Sample!F52, "")</f>
        <v>SAtotalWeightMeasured</v>
      </c>
      <c r="AA29" s="10" t="str">
        <f>IF(ISBLANK(Sample!A52)=TRUE, Sample!M52, "")</f>
        <v>Whole weight in grammes.</v>
      </c>
    </row>
    <row r="30" spans="9:35" ht="31.2" x14ac:dyDescent="0.3">
      <c r="I30" s="9" t="str">
        <f>IF(ISBLANK(Location!A2)=TRUE, Location!B2, "")</f>
        <v/>
      </c>
      <c r="J30" s="10" t="str">
        <f>IF(ISBLANK('Temporal Event'!A4)=TRUE, 'Temporal Event'!F4, "")</f>
        <v/>
      </c>
      <c r="K30" s="22" t="str">
        <f>IF(ISBLANK('Temporal Event'!A4)=TRUE, 'Temporal Event'!M4, "")</f>
        <v/>
      </c>
      <c r="N30" s="10" t="str">
        <f>IF(ISBLANK('Fishing Trip'!A33)=TRUE, 'Fishing Trip'!F33, "")</f>
        <v>FTnumberTotalClusters</v>
      </c>
      <c r="O30" s="22" t="str">
        <f>IF(ISBLANK('Fishing Trip'!A33)=TRUE, 'Fishing Trip'!M33, "")</f>
        <v>Total number of clusters in that level of the sampling hierarchy</v>
      </c>
      <c r="Q30" s="9">
        <f>IF(ISBLANK('Fishing Operation'!A36)=TRUE, 'Fishing Operation'!B36, "")</f>
        <v>0</v>
      </c>
      <c r="R30" s="10" t="str">
        <f>IF(ISBLANK('Fishing Operation'!#REF!)=TRUE, 'Fishing Operation'!#REF!, "")</f>
        <v/>
      </c>
      <c r="S30" s="22" t="str">
        <f>IF(ISBLANK('Fishing Operation'!#REF!)=TRUE, 'Fishing Operation'!#REF!, "")</f>
        <v/>
      </c>
      <c r="U30" s="9" t="str">
        <f>IF(ISBLANK(#REF!)=TRUE,#REF!, "")</f>
        <v/>
      </c>
      <c r="V30" s="10" t="str">
        <f>IF(ISBLANK(#REF!)=TRUE,#REF!, "")</f>
        <v/>
      </c>
      <c r="W30" s="10" t="str">
        <f>IF(ISBLANK(#REF!)=TRUE,#REF!, "")</f>
        <v/>
      </c>
      <c r="Y30" s="9" t="str">
        <f>IF(ISBLANK(Sample!#REF!)=TRUE, Sample!B52, "")</f>
        <v/>
      </c>
      <c r="Z30" s="10" t="str">
        <f>IF(ISBLANK(Sample!A54)=TRUE, Sample!F54, "")</f>
        <v>SAsampleWeightMeasured</v>
      </c>
      <c r="AA30" s="22" t="str">
        <f>IF(ISBLANK(Sample!A54)=TRUE, Sample!M54, "")</f>
        <v>Whole weight in grammes of the sample.</v>
      </c>
    </row>
    <row r="31" spans="9:35" ht="31.2" x14ac:dyDescent="0.3">
      <c r="I31" s="9" t="str">
        <f>IF(ISBLANK(Location!A3)=TRUE, Location!B3, "")</f>
        <v/>
      </c>
      <c r="J31" s="10" t="str">
        <f>IF(ISBLANK('Temporal Event'!A5)=TRUE, 'Temporal Event'!F5, "")</f>
        <v/>
      </c>
      <c r="K31" s="22" t="str">
        <f>IF(ISBLANK('Temporal Event'!A5)=TRUE, 'Temporal Event'!M5, "")</f>
        <v/>
      </c>
      <c r="N31" s="10" t="str">
        <f>IF(ISBLANK('Fishing Trip'!A34)=TRUE, 'Fishing Trip'!F34, "")</f>
        <v>FTnumberSampledClusters</v>
      </c>
      <c r="O31" s="22" t="str">
        <f>IF(ISBLANK('Fishing Trip'!A34)=TRUE, 'Fishing Trip'!M34, "")</f>
        <v>Total number of clusters sampled</v>
      </c>
      <c r="Q31" s="9" t="str">
        <f>IF(ISBLANK('Fishing Operation'!#REF!)=TRUE, 'Fishing Operation'!#REF!, "")</f>
        <v/>
      </c>
      <c r="R31" s="10" t="str">
        <f>IF(ISBLANK('Fishing Operation'!A35)=TRUE, 'Fishing Operation'!F35, "")</f>
        <v>FOfishingDepth</v>
      </c>
      <c r="S31" s="22" t="str">
        <f>IF(ISBLANK('Fishing Operation'!A35)=TRUE, 'Fishing Operation'!M35, "")</f>
        <v>Mean depth of gear</v>
      </c>
      <c r="U31" s="9" t="str">
        <f>IF(ISBLANK(#REF!)=TRUE,#REF!, "")</f>
        <v/>
      </c>
      <c r="V31" s="10" t="str">
        <f>IF(ISBLANK(#REF!)=TRUE,#REF!, "")</f>
        <v/>
      </c>
      <c r="W31" s="10" t="str">
        <f>IF(ISBLANK(#REF!)=TRUE,#REF!, "")</f>
        <v/>
      </c>
      <c r="Y31" s="9">
        <f>IF(ISBLANK(Sample!A40)=TRUE, Sample!B40, "")</f>
        <v>0</v>
      </c>
      <c r="Z31" s="10" t="str">
        <f>IF(ISBLANK(Sample!A55)=TRUE, Sample!F55, "")</f>
        <v>SAconversionFactorMeasLive</v>
      </c>
      <c r="AA31" s="22" t="str">
        <f>IF(ISBLANK(Sample!A55)=TRUE, Sample!M55, "")</f>
        <v>Conversion factor between measured weight and live weight.</v>
      </c>
    </row>
    <row r="32" spans="9:35" ht="31.2" x14ac:dyDescent="0.3">
      <c r="I32" s="9">
        <f>IF(ISBLANK(Location!A4)=TRUE, Location!B4, "")</f>
        <v>0</v>
      </c>
      <c r="J32" s="10" t="str">
        <f>IF(ISBLANK('Temporal Event'!A6)=TRUE, 'Temporal Event'!F6, "")</f>
        <v>TErecordType</v>
      </c>
      <c r="K32" s="22" t="str">
        <f>IF(ISBLANK('Temporal Event'!A6)=TRUE, 'Temporal Event'!M6, "")</f>
        <v>Fixed value ('TE')</v>
      </c>
      <c r="N32" s="10" t="str">
        <f>IF(ISBLANK('Fishing Trip'!#REF!)=TRUE, 'Fishing Trip'!#REF!, "")</f>
        <v/>
      </c>
      <c r="O32" s="22" t="str">
        <f>IF(ISBLANK('Fishing Trip'!#REF!)=TRUE, 'Fishing Trip'!#REF!, "")</f>
        <v/>
      </c>
      <c r="Q32" s="9">
        <f>IF(ISBLANK('Fishing Operation'!A37)=TRUE, 'Fishing Operation'!B37, "")</f>
        <v>0</v>
      </c>
      <c r="R32" s="10" t="str">
        <f>IF(ISBLANK('Fishing Operation'!A36)=TRUE, 'Fishing Operation'!F36, "")</f>
        <v>FOwaterDepth</v>
      </c>
      <c r="S32" s="22" t="str">
        <f>IF(ISBLANK('Fishing Operation'!A36)=TRUE, 'Fishing Operation'!M36, "")</f>
        <v>Mean depth of location</v>
      </c>
      <c r="U32" s="9" t="str">
        <f>IF(ISBLANK(#REF!)=TRUE,#REF!, "")</f>
        <v/>
      </c>
      <c r="V32" s="10" t="str">
        <f>IF(ISBLANK(#REF!)=TRUE,#REF!, "")</f>
        <v/>
      </c>
      <c r="W32" s="10" t="str">
        <f>IF(ISBLANK(#REF!)=TRUE,#REF!, "")</f>
        <v/>
      </c>
      <c r="Y32" s="9" t="str">
        <f>IF(ISBLANK(Sample!#REF!)=TRUE, Sample!#REF!, "")</f>
        <v/>
      </c>
      <c r="Z32" s="10" t="str">
        <f>IF(ISBLANK(Sample!A13)=TRUE, Sample!F13, "")</f>
        <v>SAspecimensState</v>
      </c>
      <c r="AA32" s="22" t="str">
        <f>IF(ISBLANK(Sample!A13)=TRUE, Sample!M13, "")</f>
        <v xml:space="preserve">State of the specimens (e.g., dead, damaged, etc). </v>
      </c>
    </row>
    <row r="33" spans="9:27" ht="46.8" x14ac:dyDescent="0.3">
      <c r="J33" s="10" t="str">
        <f>IF(ISBLANK('Temporal Event'!A8)=TRUE, 'Temporal Event'!F8, "")</f>
        <v>TEstratification</v>
      </c>
      <c r="K33" s="22" t="str">
        <f>IF(ISBLANK('Temporal Event'!A8)=TRUE, 'Temporal Event'!M8, "")</f>
        <v>Indicator of presence (Y) or absence (N) of stratification of units in that level of the sampling hierarchy</v>
      </c>
      <c r="N33" s="10" t="str">
        <f>IF(ISBLANK('Fishing Trip'!A38)=TRUE, 'Fishing Trip'!F38, "")</f>
        <v>FTreasonNotSampled</v>
      </c>
      <c r="O33" s="22" t="str">
        <f>IF(ISBLANK('Fishing Trip'!A38)=TRUE, 'Fishing Trip'!M38, "")</f>
        <v>Reason for not sampling</v>
      </c>
      <c r="R33" s="10" t="str">
        <f>IF(ISBLANK('Fishing Operation'!A37)=TRUE, 'Fishing Operation'!F37, "")</f>
        <v>FOnationalFishingActivity</v>
      </c>
      <c r="S33" s="22" t="str">
        <f>IF(ISBLANK('Fishing Operation'!A37)=TRUE, 'Fishing Operation'!M37, "")</f>
        <v>Country specific national fishing activity</v>
      </c>
      <c r="V33" s="10" t="str">
        <f>IF(ISBLANK(#REF!)=TRUE,#REF!, "")</f>
        <v/>
      </c>
      <c r="W33" s="10" t="str">
        <f>IF(ISBLANK(#REF!)=TRUE,#REF!, "")</f>
        <v/>
      </c>
      <c r="Z33" s="10"/>
      <c r="AA33" s="22"/>
    </row>
    <row r="34" spans="9:27" x14ac:dyDescent="0.3">
      <c r="J34" s="10" t="str">
        <f>IF(ISBLANK('Temporal Event'!A9)=TRUE, 'Temporal Event'!F9, "")</f>
        <v>TEtimeUnit</v>
      </c>
      <c r="K34" s="22" t="str">
        <f>IF(ISBLANK('Temporal Event'!A9)=TRUE, 'Temporal Event'!M9, "")</f>
        <v>The time unit e.g. "week"</v>
      </c>
      <c r="N34" s="10" t="str">
        <f>IF(ISBLANK('Fishing Trip'!A37)=TRUE, 'Fishing Trip'!F37, "")</f>
        <v>FTsampled</v>
      </c>
      <c r="O34" s="22">
        <f>IF(ISBLANK('Fishing Trip'!A37)=TRUE, 'Fishing Trip'!M37, "")</f>
        <v>0</v>
      </c>
      <c r="R34" s="10" t="str">
        <f>IF(ISBLANK('Fishing Operation'!A38)=TRUE, 'Fishing Operation'!F38, "")</f>
        <v>FOmetier5</v>
      </c>
      <c r="S34" s="22" t="str">
        <f>IF(ISBLANK('Fishing Operation'!A38)=TRUE, 'Fishing Operation'!M38, "")</f>
        <v>Level 5 metier</v>
      </c>
      <c r="V34" s="10" t="str">
        <f>IF(ISBLANK(#REF!)=TRUE,#REF!, "")</f>
        <v/>
      </c>
      <c r="W34" s="10" t="str">
        <f>IF(ISBLANK(#REF!)=TRUE,#REF!, "")</f>
        <v/>
      </c>
      <c r="Z34" s="10"/>
      <c r="AA34" s="22"/>
    </row>
    <row r="35" spans="9:27" x14ac:dyDescent="0.3">
      <c r="I35" s="9" t="str">
        <f>IF(ISBLANK(Location!#REF!)=TRUE, Location!#REF!, "")</f>
        <v/>
      </c>
      <c r="J35" s="10" t="str">
        <f>IF(ISBLANK('Temporal Event'!A10)=TRUE, 'Temporal Event'!F10, "")</f>
        <v>TEstratumName</v>
      </c>
      <c r="K35" s="22" t="str">
        <f>IF(ISBLANK('Temporal Event'!A10)=TRUE, 'Temporal Event'!M10, "")</f>
        <v>Name of stratum ('U' for unstratified)</v>
      </c>
      <c r="Q35" s="9">
        <f>IF(ISBLANK('Fishing Operation'!A38)=TRUE, 'Fishing Operation'!B38, "")</f>
        <v>0</v>
      </c>
      <c r="R35" s="10" t="str">
        <f>IF(ISBLANK('Fishing Operation'!A39)=TRUE, 'Fishing Operation'!F39, "")</f>
        <v>FOmetier6</v>
      </c>
      <c r="S35" s="22" t="str">
        <f>IF(ISBLANK('Fishing Operation'!A39)=TRUE, 'Fishing Operation'!M39, "")</f>
        <v>Level 6 metier</v>
      </c>
      <c r="U35" s="9" t="str">
        <f>IF(ISBLANK(#REF!)=TRUE,#REF!, "")</f>
        <v/>
      </c>
      <c r="V35" s="10" t="str">
        <f>IF(ISBLANK(#REF!)=TRUE,#REF!, "")</f>
        <v/>
      </c>
      <c r="W35" s="10" t="str">
        <f>IF(ISBLANK(#REF!)=TRUE,#REF!, "")</f>
        <v/>
      </c>
      <c r="Y35" s="9">
        <f>IF(ISBLANK(Sample!A43)=TRUE, Sample!B43, "")</f>
        <v>0</v>
      </c>
      <c r="Z35" s="10" t="str">
        <f>IF(ISBLANK(Sample!A57)=TRUE, Sample!F57, "")</f>
        <v>SAauxiliaryVariableValue</v>
      </c>
      <c r="AA35" s="10" t="str">
        <f>IF(ISBLANK(Sample!A57)=TRUE, Sample!M57, "")</f>
        <v>The value of auxiliary variable in the sampled unit.</v>
      </c>
    </row>
    <row r="36" spans="9:27" ht="46.8" x14ac:dyDescent="0.3">
      <c r="I36" s="9">
        <f>IF(ISBLANK(Location!A10)=TRUE, Location!B10, "")</f>
        <v>0</v>
      </c>
      <c r="J36" s="10" t="str">
        <f>IF(ISBLANK('Temporal Event'!A11)=TRUE, 'Temporal Event'!F11, "")</f>
        <v>TEclustering</v>
      </c>
      <c r="K36" s="22" t="str">
        <f>IF(ISBLANK('Temporal Event'!A11)=TRUE, 'Temporal Event'!M11, "")</f>
        <v>Indicator existence and type of cluster sampling of units in that level of the sampling hierarchy</v>
      </c>
      <c r="N36" s="11" t="s">
        <v>329</v>
      </c>
      <c r="O36" s="11"/>
      <c r="Q36" s="9">
        <f>IF(ISBLANK('Fishing Operation'!A39)=TRUE, 'Fishing Operation'!B39, "")</f>
        <v>0</v>
      </c>
      <c r="R36" s="10" t="str">
        <f>IF(ISBLANK('Fishing Operation'!A40)=TRUE, 'Fishing Operation'!F40, "")</f>
        <v>FOgear</v>
      </c>
      <c r="S36" s="22" t="str">
        <f>IF(ISBLANK('Fishing Operation'!A40)=TRUE, 'Fishing Operation'!M40, "")</f>
        <v>FAO Code of gear</v>
      </c>
      <c r="U36" s="9" t="str">
        <f>IF(ISBLANK(#REF!)=TRUE,#REF!, "")</f>
        <v/>
      </c>
      <c r="V36" s="10" t="str">
        <f>IF(ISBLANK(#REF!)=TRUE,#REF!, "")</f>
        <v/>
      </c>
      <c r="W36" s="10" t="str">
        <f>IF(ISBLANK(#REF!)=TRUE,#REF!, "")</f>
        <v/>
      </c>
      <c r="Y36" s="9" t="str">
        <f>IF(ISBLANK(Sample!#REF!)=TRUE, Sample!#REF!, "")</f>
        <v/>
      </c>
      <c r="Z36" s="10" t="str">
        <f>IF(ISBLANK(Sample!A65)=TRUE, Sample!F58, "")</f>
        <v>SAauxiliaryVariableName</v>
      </c>
      <c r="AA36" s="10" t="str">
        <f>IF(ISBLANK(Sample!A65)=TRUE, Sample!M58, "")</f>
        <v>Name of the auxiliary variable</v>
      </c>
    </row>
    <row r="37" spans="9:27" ht="31.2" x14ac:dyDescent="0.3">
      <c r="I37" s="9">
        <f>IF(ISBLANK(Location!A14)=TRUE, Location!B14, "")</f>
        <v>0</v>
      </c>
      <c r="J37" s="10" t="str">
        <f>IF(ISBLANK('Temporal Event'!A12)=TRUE, 'Temporal Event'!F12, "")</f>
        <v>TEclusterName</v>
      </c>
      <c r="K37" s="22" t="str">
        <f>IF(ISBLANK('Temporal Event'!A12)=TRUE, 'Temporal Event'!M12, "")</f>
        <v>Name or code of the cluster selected for sampling</v>
      </c>
      <c r="N37" s="10" t="str">
        <f>IF(ISBLANK('Onshore Event'!A2)=TRUE, 'Onshore Event'!F2, "")</f>
        <v/>
      </c>
      <c r="O37" s="22" t="str">
        <f>IF(ISBLANK('Onshore Event'!A2)=TRUE, 'Onshore Event'!M2, "")</f>
        <v/>
      </c>
      <c r="Q37" s="9">
        <f>IF(ISBLANK('Fishing Operation'!A40)=TRUE, 'Fishing Operation'!B40, "")</f>
        <v>0</v>
      </c>
      <c r="R37" s="10" t="str">
        <f>IF(ISBLANK('Fishing Operation'!A43)=TRUE, 'Fishing Operation'!F43, "")</f>
        <v>FOmeshSize</v>
      </c>
      <c r="S37" s="22" t="str">
        <f>IF(ISBLANK('Fishing Operation'!A43)=TRUE, 'Fishing Operation'!M43, "")</f>
        <v xml:space="preserve">Mesh size (mm).  The following: LLD, LLS, LHM, LHP, LL, FPO cannot insert mesh size. </v>
      </c>
      <c r="U37" s="9" t="str">
        <f>IF(ISBLANK(#REF!)=TRUE,#REF!, "")</f>
        <v/>
      </c>
      <c r="V37" s="10" t="str">
        <f>IF(ISBLANK(#REF!)=TRUE,#REF!, "")</f>
        <v/>
      </c>
      <c r="W37" s="10" t="str">
        <f>IF(ISBLANK(#REF!)=TRUE,#REF!, "")</f>
        <v/>
      </c>
      <c r="Y37" s="9" t="str">
        <f>IF(ISBLANK(Sample!#REF!)=TRUE, Sample!#REF!, "")</f>
        <v/>
      </c>
    </row>
    <row r="38" spans="9:27" ht="46.8" x14ac:dyDescent="0.3">
      <c r="I38" s="9">
        <f>IF(ISBLANK(Location!A15)=TRUE, Location!B15, "")</f>
        <v>0</v>
      </c>
      <c r="J38" s="10" t="str">
        <f>IF(ISBLANK('Temporal Event'!A13)=TRUE, 'Temporal Event'!F13, "")</f>
        <v>TEsampler</v>
      </c>
      <c r="K38" s="22" t="str">
        <f>IF(ISBLANK('Temporal Event'!A13)=TRUE, 'Temporal Event'!M13, "")</f>
        <v xml:space="preserve">Data collected by. E.g Selfsampling, Observer, Control, Imagery. In the future potential combinations of e.g. observer and EM. </v>
      </c>
      <c r="N38" s="10" t="str">
        <f>IF(ISBLANK('Onshore Event'!A3)=TRUE, 'Onshore Event'!F3, "")</f>
        <v/>
      </c>
      <c r="O38" s="22" t="str">
        <f>IF(ISBLANK('Onshore Event'!A3)=TRUE, 'Onshore Event'!M3, "")</f>
        <v/>
      </c>
      <c r="Q38" s="9">
        <f>IF(ISBLANK('Fishing Operation'!A43)=TRUE, 'Fishing Operation'!B43, "")</f>
        <v>0</v>
      </c>
      <c r="R38" s="10" t="str">
        <f>IF(ISBLANK('Fishing Operation'!A44)=TRUE, 'Fishing Operation'!F44, "")</f>
        <v>FOselectionDevice</v>
      </c>
      <c r="S38" s="22" t="str">
        <f>IF(ISBLANK('Fishing Operation'!A44)=TRUE, 'Fishing Operation'!M44, "")</f>
        <v>Selection device. Note: this is different from IncidentalByCatchMitigateDevices.</v>
      </c>
      <c r="U38" s="9">
        <f>IF(ISBLANK('Sampling Details'!A5)=TRUE, 'Sampling Details'!B5, "")</f>
        <v>0</v>
      </c>
      <c r="V38" s="10" t="str">
        <f>IF(ISBLANK(#REF!)=TRUE,#REF!, "")</f>
        <v/>
      </c>
      <c r="W38" s="10" t="str">
        <f>IF(ISBLANK(#REF!)=TRUE,#REF!, "")</f>
        <v/>
      </c>
      <c r="Y38" s="9">
        <f>IF(ISBLANK(Sample!A45)=TRUE, Sample!B45, "")</f>
        <v>0</v>
      </c>
    </row>
    <row r="39" spans="9:27" ht="31.2" x14ac:dyDescent="0.3">
      <c r="I39" s="9" t="str">
        <f>IF(ISBLANK(Location!#REF!)=TRUE, Location!#REF!, "")</f>
        <v/>
      </c>
      <c r="J39" s="10" t="str">
        <f>IF(ISBLANK('Temporal Event'!A14)=TRUE, 'Temporal Event'!F14, "")</f>
        <v>TEnumberTotal</v>
      </c>
      <c r="K39" s="22" t="str">
        <f>IF(ISBLANK('Temporal Event'!A14)=TRUE, 'Temporal Event'!M14, "")</f>
        <v>Total number of unique time units in this stratum/cluster.</v>
      </c>
      <c r="N39" s="10" t="str">
        <f>IF(ISBLANK('Onshore Event'!A4)=TRUE, 'Onshore Event'!F4, "")</f>
        <v>OSrecordType</v>
      </c>
      <c r="O39" s="22" t="str">
        <f>IF(ISBLANK('Onshore Event'!A4)=TRUE, 'Onshore Event'!M4, "")</f>
        <v>Fixed value ('OS')</v>
      </c>
      <c r="Q39" s="9">
        <f>IF(ISBLANK('Fishing Operation'!A44)=TRUE, 'Fishing Operation'!B44, "")</f>
        <v>0</v>
      </c>
      <c r="R39" s="10" t="str">
        <f>IF(ISBLANK('Fishing Operation'!A45)=TRUE, 'Fishing Operation'!F45, "")</f>
        <v>FOselectionDeviceMeshSize</v>
      </c>
      <c r="S39" s="22" t="str">
        <f>IF(ISBLANK('Fishing Operation'!A45)=TRUE, 'Fishing Operation'!M45, "")</f>
        <v>Selection device mesh size (mm)</v>
      </c>
      <c r="V39" s="10" t="str">
        <f>IF(ISBLANK(#REF!)=TRUE,#REF!, "")</f>
        <v/>
      </c>
      <c r="W39" s="10" t="str">
        <f>IF(ISBLANK(#REF!)=TRUE,#REF!, "")</f>
        <v/>
      </c>
      <c r="Y39" s="9">
        <f>IF(ISBLANK(Sample!A46)=TRUE, Sample!B46, "")</f>
        <v>0</v>
      </c>
    </row>
    <row r="40" spans="9:27" ht="71.25" customHeight="1" x14ac:dyDescent="0.3">
      <c r="I40" s="9">
        <f>IF(ISBLANK(Location!A18)=TRUE, Location!B18, "")</f>
        <v>0</v>
      </c>
      <c r="J40" s="10" t="str">
        <f>IF(ISBLANK('Temporal Event'!A15)=TRUE, 'Temporal Event'!F15, "")</f>
        <v>TEnumberSampled</v>
      </c>
      <c r="K40" s="22" t="str">
        <f>IF(ISBLANK('Temporal Event'!A15)=TRUE, 'Temporal Event'!M15, "")</f>
        <v>The number of time units sampled in this stratum/cluster (not necessarily unique time units, the same time unit could be sampled more than once) . If 3 samples was made and one time unit was selected twice, the number of time units sampled is 3.</v>
      </c>
      <c r="N40" s="10" t="str">
        <f>IF(ISBLANK('Onshore Event'!#REF!)=TRUE, 'Onshore Event'!#REF!, "")</f>
        <v/>
      </c>
      <c r="O40" s="22" t="str">
        <f>IF(ISBLANK('Onshore Event'!A6)=TRUE, 'Onshore Event'!M6, "")</f>
        <v>Indicator of presence ("Y") or absence ("N") of stratification of units in that level of the sampling hierarchy</v>
      </c>
      <c r="Q40" s="9">
        <f>IF(ISBLANK('Fishing Operation'!A45)=TRUE, 'Fishing Operation'!B45, "")</f>
        <v>0</v>
      </c>
      <c r="R40" s="10" t="str">
        <f>IF(ISBLANK('Fishing Operation'!A46)=TRUE, 'Fishing Operation'!F46, "")</f>
        <v>FOtargetSpecies</v>
      </c>
      <c r="S40" s="22" t="str">
        <f>IF(ISBLANK('Fishing Operation'!A46)=TRUE, 'Fishing Operation'!M46, "")</f>
        <v>Target species assemblage</v>
      </c>
      <c r="V40" s="10" t="str">
        <f>IF(ISBLANK(#REF!)=TRUE,#REF!, "")</f>
        <v/>
      </c>
      <c r="W40" s="10" t="str">
        <f>IF(ISBLANK(#REF!)=TRUE,#REF!, "")</f>
        <v/>
      </c>
      <c r="Y40" s="9">
        <f>IF(ISBLANK(Sample!A50)=TRUE, Sample!B50, "")</f>
        <v>0</v>
      </c>
    </row>
    <row r="41" spans="9:27" ht="31.2" x14ac:dyDescent="0.3">
      <c r="I41" s="9">
        <f>IF(ISBLANK(Location!A27)=TRUE, Location!B27, "")</f>
        <v>0</v>
      </c>
      <c r="J41" s="10" t="str">
        <f>IF(ISBLANK('Temporal Event'!#REF!)=TRUE, 'Temporal Event'!#REF!, "")</f>
        <v/>
      </c>
      <c r="K41" s="22" t="str">
        <f>IF(ISBLANK('Temporal Event'!#REF!)=TRUE, 'Temporal Event'!#REF!, "")</f>
        <v/>
      </c>
      <c r="N41" s="10" t="str">
        <f>IF(ISBLANK('Onshore Event'!A6)=TRUE, 'Onshore Event'!F6, "")</f>
        <v>OSstratification</v>
      </c>
      <c r="O41" s="22" t="str">
        <f>IF(ISBLANK('Onshore Event'!A7)=TRUE, 'Onshore Event'!M7, "")</f>
        <v>LOCODE of sampling location</v>
      </c>
      <c r="Q41" s="9">
        <f>IF(ISBLANK('Fishing Operation'!A46)=TRUE, 'Fishing Operation'!B46, "")</f>
        <v>0</v>
      </c>
      <c r="R41" s="10" t="str">
        <f>IF(ISBLANK('Fishing Operation'!A47)=TRUE, 'Fishing Operation'!F47, "")</f>
        <v>FOincidentalByCatchMitigationDeviceFirst</v>
      </c>
      <c r="S41" s="22" t="str">
        <f>IF(ISBLANK('Fishing Operation'!A47)=TRUE, 'Fishing Operation'!M47, "")</f>
        <v>First mitigation device specific for reducing incidental by-catch</v>
      </c>
      <c r="V41" s="10" t="str">
        <f>IF(ISBLANK(#REF!)=TRUE,#REF!, "")</f>
        <v/>
      </c>
      <c r="W41" s="10" t="str">
        <f>IF(ISBLANK(#REF!)=TRUE,#REF!, "")</f>
        <v/>
      </c>
    </row>
    <row r="42" spans="9:27" ht="31.2" x14ac:dyDescent="0.3">
      <c r="J42" s="10" t="str">
        <f>IF(ISBLANK('Temporal Event'!A18)=TRUE, 'Temporal Event'!F18, "")</f>
        <v>TEselectionMethod</v>
      </c>
      <c r="K42" s="22" t="str">
        <f>IF(ISBLANK('Temporal Event'!A18)=TRUE, 'Temporal Event'!M18, "")</f>
        <v>The method of selecting units of time for sampling</v>
      </c>
      <c r="N42" s="10" t="str">
        <f>IF(ISBLANK('Onshore Event'!A7)=TRUE, 'Onshore Event'!F7, "")</f>
        <v>OSlocode</v>
      </c>
      <c r="O42" s="22" t="str">
        <f>IF(ISBLANK('Onshore Event'!A10)=TRUE, 'Onshore Event'!M10, "")</f>
        <v>Sampling date</v>
      </c>
      <c r="Q42" s="9" t="str">
        <f>IF(ISBLANK('Fishing Operation'!#REF!)=TRUE, 'Fishing Operation'!#REF!, "")</f>
        <v/>
      </c>
      <c r="R42" s="10" t="str">
        <f>IF(ISBLANK('Fishing Operation'!A51)=TRUE, 'Fishing Operation'!F51, "")</f>
        <v>FOgearDimensions</v>
      </c>
      <c r="S42" s="22">
        <f>IF(ISBLANK('Fishing Operation'!A51)=TRUE, 'Fishing Operation'!M51, "")</f>
        <v>0</v>
      </c>
      <c r="V42" s="10" t="str">
        <f>IF(ISBLANK(#REF!)=TRUE,#REF!, "")</f>
        <v/>
      </c>
      <c r="W42" s="10" t="str">
        <f>IF(ISBLANK(#REF!)=TRUE,#REF!, "")</f>
        <v/>
      </c>
    </row>
    <row r="43" spans="9:27" ht="37.5" customHeight="1" x14ac:dyDescent="0.3">
      <c r="J43" s="10" t="str">
        <f>IF(ISBLANK('Temporal Event'!A19)=TRUE, 'Temporal Event'!F19, "")</f>
        <v>TEunitName</v>
      </c>
      <c r="K43" s="22" t="str">
        <f>IF(ISBLANK('Temporal Event'!A19)=TRUE, 'Temporal Event'!M19, "")</f>
        <v>The name of this unit. Indicate a sampling unit may appear more than once. National identfier for the time unit e.g. "Week23", "March" etc.</v>
      </c>
      <c r="N43" s="10" t="str">
        <f>IF(ISBLANK('Onshore Event'!A10)=TRUE, 'Onshore Event'!F10, "")</f>
        <v>OSsamplingDate</v>
      </c>
      <c r="O43" s="22" t="str">
        <f>IF(ISBLANK('Onshore Event'!A11)=TRUE, 'Onshore Event'!M11, "")</f>
        <v>Sampling time</v>
      </c>
      <c r="Q43" s="9" t="str">
        <f>IF(ISBLANK('Fishing Operation'!#REF!)=TRUE, 'Fishing Operation'!#REF!, "")</f>
        <v/>
      </c>
      <c r="R43" s="10" t="str">
        <f>IF(ISBLANK('Fishing Operation'!A52)=TRUE, 'Fishing Operation'!F52, "")</f>
        <v>FOobservationCode</v>
      </c>
      <c r="S43" s="22" t="str">
        <f>IF(ISBLANK('Fishing Operation'!A52)=TRUE, 'Fishing Operation'!M52, "")</f>
        <v>Indicator if the slipping, drop-outs, presorting and/or sorting was observed . The code is a combination of the observed first letters for Slipping, Drop-outs, Presorting and Sorting observation or None (= catches of fishing operation not observed).</v>
      </c>
      <c r="T43" s="9">
        <f>IF(ISBLANK('Fishing Operation'!A53)=TRUE, 'Fishing Operation'!B53, "")</f>
        <v>0</v>
      </c>
      <c r="U43" s="9" t="str">
        <f>IF(ISBLANK('Fishing Operation'!A75)=TRUE, 'Fishing Operation'!G68, "")</f>
        <v>FOauxVarValue</v>
      </c>
      <c r="V43" s="10" t="str">
        <f>IF(ISBLANK(#REF!)=TRUE,#REF!, "")</f>
        <v/>
      </c>
      <c r="W43" s="10" t="str">
        <f>IF(ISBLANK(#REF!)=TRUE,#REF!, "")</f>
        <v/>
      </c>
    </row>
    <row r="44" spans="9:27" ht="31.2" x14ac:dyDescent="0.3">
      <c r="J44" s="10" t="str">
        <f>IF(ISBLANK('Temporal Event'!#REF!)=TRUE, 'Temporal Event'!#REF!, "")</f>
        <v/>
      </c>
      <c r="K44" s="22" t="str">
        <f>IF(ISBLANK('Temporal Event'!#REF!)=TRUE, 'Temporal Event'!#REF!, "")</f>
        <v/>
      </c>
      <c r="N44" s="10" t="str">
        <f>IF(ISBLANK('Onshore Event'!A11)=TRUE, 'Onshore Event'!F11, "")</f>
        <v>OSsamplingTime</v>
      </c>
      <c r="O44" s="22" t="str">
        <f>IF(ISBLANK('Onshore Event'!A12)=TRUE, 'Onshore Event'!M12, "")</f>
        <v>Name of stratum ('U' for unstratified)</v>
      </c>
      <c r="R44" s="10" t="str">
        <f>IF(ISBLANK('Fishing Operation'!A53)=TRUE, 'Fishing Operation'!F53, "")</f>
        <v>FOnumberTotal</v>
      </c>
      <c r="S44" s="22" t="str">
        <f>IF(ISBLANK('Fishing Operation'!A53)=TRUE, 'Fishing Operation'!M53, "")</f>
        <v>Total number of unique fishing operation in the stratrum/cluster.</v>
      </c>
      <c r="T44" s="9">
        <f>IF(ISBLANK('Fishing Operation'!A54)=TRUE, 'Fishing Operation'!B54, "")</f>
        <v>0</v>
      </c>
      <c r="U44" s="9" t="str">
        <f>IF(ISBLANK('Fishing Operation'!A69)=TRUE, 'Fishing Operation'!G69, "")</f>
        <v>FOauxVarName</v>
      </c>
    </row>
    <row r="45" spans="9:27" ht="31.2" x14ac:dyDescent="0.3">
      <c r="J45" s="10" t="str">
        <f>IF(ISBLANK('Temporal Event'!A20)=TRUE, 'Temporal Event'!F20, "")</f>
        <v>TEselectionMethodCluster</v>
      </c>
      <c r="K45" s="22" t="str">
        <f>IF(ISBLANK('Temporal Event'!A20)=TRUE, 'Temporal Event'!M20, "")</f>
        <v>The method of selecting clusters</v>
      </c>
      <c r="N45" s="10" t="str">
        <f>IF(ISBLANK('Onshore Event'!A12)=TRUE, 'Onshore Event'!F12, "")</f>
        <v>OSstratumName</v>
      </c>
      <c r="O45" s="22" t="str">
        <f>IF(ISBLANK('Onshore Event'!A13)=TRUE, 'Onshore Event'!M13, "")</f>
        <v>Indicator existence and type of cluster sampling of units in that level of the sampling hierarchy</v>
      </c>
      <c r="R45" s="10" t="str">
        <f>IF(ISBLANK('Fishing Operation'!A54)=TRUE, 'Fishing Operation'!F54, "")</f>
        <v>FOnumberSampled</v>
      </c>
      <c r="S45" s="22" t="str">
        <f>IF(ISBLANK('Fishing Operation'!A54)=TRUE, 'Fishing Operation'!M54, "")</f>
        <v>The number of fishing operations sampled in this stratum/cluster.</v>
      </c>
      <c r="T45" s="9">
        <f>'Fishing Operation'!B57</f>
        <v>0</v>
      </c>
      <c r="U45" s="9" t="str">
        <f>IF(ISBLANK('Fishing Operation'!A70)=TRUE, 'Fishing Operation'!G70, "")</f>
        <v>FOauxVarUnit</v>
      </c>
    </row>
    <row r="46" spans="9:27" ht="31.2" x14ac:dyDescent="0.3">
      <c r="J46" s="10" t="str">
        <f>IF(ISBLANK('Temporal Event'!A21)=TRUE, 'Temporal Event'!F21, "")</f>
        <v>TEnumberTotalClusters</v>
      </c>
      <c r="K46" s="22" t="str">
        <f>IF(ISBLANK('Temporal Event'!A21)=TRUE, 'Temporal Event'!M21, "")</f>
        <v>Total number of clusters in that level of the sampling hierarchy</v>
      </c>
      <c r="N46" s="10" t="str">
        <f>IF(ISBLANK('Onshore Event'!A13)=TRUE, 'Onshore Event'!F13, "")</f>
        <v>OSclustering</v>
      </c>
      <c r="O46" s="22" t="str">
        <f>IF(ISBLANK('Onshore Event'!A14)=TRUE, 'Onshore Event'!M14, "")</f>
        <v>Name or code of the cluster selected for sampling</v>
      </c>
      <c r="R46" s="10" t="str">
        <f>IF(ISBLANK('Fishing Operation'!#REF!)=TRUE, 'Fishing Operation'!#REF!, "")</f>
        <v/>
      </c>
      <c r="S46" s="22" t="str">
        <f>IF(ISBLANK('Fishing Operation'!#REF!)=TRUE, 'Fishing Operation'!#REF!, "")</f>
        <v/>
      </c>
      <c r="T46" s="9">
        <f>'Fishing Operation'!B66</f>
        <v>0</v>
      </c>
    </row>
    <row r="47" spans="9:27" ht="46.8" x14ac:dyDescent="0.3">
      <c r="J47" s="10" t="str">
        <f>IF(ISBLANK('Temporal Event'!A22)=TRUE, 'Temporal Event'!F22, "")</f>
        <v>TEnumberSampledClusters</v>
      </c>
      <c r="K47" s="22" t="str">
        <f>IF(ISBLANK('Temporal Event'!A22)=TRUE, 'Temporal Event'!M22, "")</f>
        <v>Total number of clusters sampled</v>
      </c>
      <c r="N47" s="10" t="str">
        <f>IF(ISBLANK('Onshore Event'!A14)=TRUE, 'Onshore Event'!F14, "")</f>
        <v>OSclusterName</v>
      </c>
      <c r="O47" s="22" t="str">
        <f>IF(ISBLANK('Onshore Event'!A15)=TRUE, 'Onshore Event'!M15, "")</f>
        <v>Self-sampling, Observer, Control, Electronic Monitoring (EM). In the future potential combinations of e.g. observer and EM</v>
      </c>
      <c r="R47" s="10" t="str">
        <f>IF(ISBLANK('Fishing Operation'!A57)=TRUE, 'Fishing Operation'!F57, "")</f>
        <v>FOselectionMethod</v>
      </c>
      <c r="S47" s="22" t="str">
        <f>IF(ISBLANK('Fishing Operation'!A57)=TRUE, 'Fishing Operation'!M57, "")</f>
        <v>The method of selecting hauls for sampling</v>
      </c>
    </row>
    <row r="48" spans="9:27" x14ac:dyDescent="0.3">
      <c r="J48" s="10" t="str">
        <f>IF(ISBLANK('Temporal Event'!#REF!)=TRUE, 'Temporal Event'!#REF!, "")</f>
        <v/>
      </c>
      <c r="K48" s="22" t="str">
        <f>IF(ISBLANK('Temporal Event'!#REF!)=TRUE, 'Temporal Event'!#REF!, "")</f>
        <v/>
      </c>
      <c r="N48" s="10" t="str">
        <f>IF(ISBLANK('Onshore Event'!A15)=TRUE, 'Onshore Event'!F15, "")</f>
        <v>OSsampler</v>
      </c>
      <c r="O48" s="22" t="str">
        <f>IF(ISBLANK('Onshore Event'!A16)=TRUE, 'Onshore Event'!M16, "")</f>
        <v>The unit of the time spent sampling</v>
      </c>
      <c r="R48" s="10" t="str">
        <f>IF(ISBLANK('Fishing Operation'!A58)=TRUE, 'Fishing Operation'!F58, "")</f>
        <v>FOunitName</v>
      </c>
      <c r="S48" s="22" t="str">
        <f>IF(ISBLANK('Fishing Operation'!A58)=TRUE, 'Fishing Operation'!M58, "")</f>
        <v>The unique name of this unit.</v>
      </c>
    </row>
    <row r="49" spans="10:23" x14ac:dyDescent="0.3">
      <c r="J49" s="10" t="str">
        <f>IF(ISBLANK('Temporal Event'!A26)=TRUE, 'Temporal Event'!F26, "")</f>
        <v>TEreasonNotSampled</v>
      </c>
      <c r="K49" s="22" t="str">
        <f>IF(ISBLANK('Temporal Event'!A26)=TRUE, 'Temporal Event'!M26, "")</f>
        <v>Reason for not sampling</v>
      </c>
      <c r="N49" s="10" t="str">
        <f>IF(ISBLANK('Onshore Event'!A16)=TRUE, 'Onshore Event'!F16, "")</f>
        <v>OStimeUnit</v>
      </c>
      <c r="O49" s="22" t="str">
        <f>IF(ISBLANK('Onshore Event'!A17)=TRUE, 'Onshore Event'!M17, "")</f>
        <v>Time spent sampling</v>
      </c>
      <c r="R49" s="10" t="str">
        <f>IF(ISBLANK('Fishing Operation'!A59)=TRUE, 'Fishing Operation'!F59, "")</f>
        <v>FOselectionMethodCluster</v>
      </c>
      <c r="S49" s="22" t="str">
        <f>IF(ISBLANK('Fishing Operation'!A59)=TRUE, 'Fishing Operation'!M59, "")</f>
        <v>The method of selecting clusters</v>
      </c>
    </row>
    <row r="50" spans="10:23" ht="31.2" x14ac:dyDescent="0.3">
      <c r="J50" s="10" t="str">
        <f>IF(ISBLANK('Temporal Event'!A27)=TRUE, 'Temporal Event'!F27, "")</f>
        <v>TEnonResponseCollected</v>
      </c>
      <c r="K50" s="22" t="str">
        <f>IF(ISBLANK('Temporal Event'!A27)=TRUE, 'Temporal Event'!M27, "")</f>
        <v>Indicate whether non-responses were recorded at this sampling level.</v>
      </c>
      <c r="N50" s="10" t="str">
        <f>IF(ISBLANK('Onshore Event'!A17)=TRUE, 'Onshore Event'!F17, "")</f>
        <v>OStimeValue</v>
      </c>
      <c r="O50" s="22" t="str">
        <f>IF(ISBLANK('Onshore Event'!A18)=TRUE, 'Onshore Event'!M18, "")</f>
        <v>Total number of unique onshore events in this stratum/cluster.</v>
      </c>
      <c r="R50" s="10" t="str">
        <f>IF(ISBLANK('Fishing Operation'!A60)=TRUE, 'Fishing Operation'!F60, "")</f>
        <v>FOnumberTotalClusters</v>
      </c>
      <c r="S50" s="22" t="str">
        <f>IF(ISBLANK('Fishing Operation'!A60)=TRUE, 'Fishing Operation'!M60, "")</f>
        <v>Total number of clusters in that level of the sampling hierarchy</v>
      </c>
    </row>
    <row r="51" spans="10:23" ht="32.25" customHeight="1" x14ac:dyDescent="0.3">
      <c r="N51" s="10" t="str">
        <f>IF(ISBLANK('Onshore Event'!A18)=TRUE, 'Onshore Event'!F18, "")</f>
        <v>OSnumberTotal</v>
      </c>
      <c r="O51" s="22" t="str">
        <f>IF(ISBLANK('Onshore Event'!A19)=TRUE, 'Onshore Event'!M19, "")</f>
        <v xml:space="preserve">The number of Onshore Event sampled in this stratum/cluster (Onshore Event will never sampled with replacement). </v>
      </c>
      <c r="R51" s="10" t="str">
        <f>IF(ISBLANK('Fishing Operation'!A61)=TRUE, 'Fishing Operation'!F61, "")</f>
        <v>FOnumberSampledClusters</v>
      </c>
      <c r="S51" s="22" t="str">
        <f>IF(ISBLANK('Fishing Operation'!A61)=TRUE, 'Fishing Operation'!M61, "")</f>
        <v>Total number of clusters sampled</v>
      </c>
    </row>
    <row r="52" spans="10:23" x14ac:dyDescent="0.3">
      <c r="J52" s="11" t="s">
        <v>201</v>
      </c>
      <c r="K52" s="11"/>
      <c r="N52" s="10" t="str">
        <f>IF(ISBLANK('Onshore Event'!A19)=TRUE, 'Onshore Event'!F19, "")</f>
        <v>OSnumberSampled</v>
      </c>
      <c r="O52" s="22" t="str">
        <f>IF(ISBLANK('Onshore Event'!#REF!)=TRUE, 'Onshore Event'!#REF!, "")</f>
        <v/>
      </c>
      <c r="R52" s="10" t="str">
        <f>IF(ISBLANK('Fishing Operation'!#REF!)=TRUE, 'Fishing Operation'!#REF!, "")</f>
        <v/>
      </c>
      <c r="S52" s="22" t="str">
        <f>IF(ISBLANK('Fishing Operation'!#REF!)=TRUE, 'Fishing Operation'!#REF!, "")</f>
        <v/>
      </c>
    </row>
    <row r="53" spans="10:23" x14ac:dyDescent="0.3">
      <c r="J53" s="22" t="str">
        <f>IF(ISBLANK(Location!A2)=TRUE, Location!F2, "")</f>
        <v/>
      </c>
      <c r="K53" s="22" t="str">
        <f>IF(ISBLANK(Location!A2)=TRUE, Location!M2, "")</f>
        <v/>
      </c>
      <c r="N53" s="10" t="str">
        <f>IF(ISBLANK('Onshore Event'!#REF!)=TRUE, 'Onshore Event'!#REF!, "")</f>
        <v/>
      </c>
      <c r="O53" s="22" t="str">
        <f>IF(ISBLANK('Onshore Event'!A22)=TRUE, 'Onshore Event'!M22, "")</f>
        <v>The method of selecting onshore events for sampling</v>
      </c>
      <c r="R53" s="10" t="str">
        <f>IF(ISBLANK('Fishing Operation'!A65)=TRUE, 'Fishing Operation'!F65, "")</f>
        <v>FOreasonNotSampled</v>
      </c>
      <c r="S53" s="22" t="str">
        <f>IF(ISBLANK('Fishing Operation'!A65)=TRUE, 'Fishing Operation'!M65, "")</f>
        <v>Reason for not sampling</v>
      </c>
    </row>
    <row r="54" spans="10:23" ht="31.2" x14ac:dyDescent="0.3">
      <c r="J54" s="22" t="str">
        <f>IF(ISBLANK(Location!A3)=TRUE, Location!F3, "")</f>
        <v/>
      </c>
      <c r="K54" s="22" t="str">
        <f>IF(ISBLANK(Location!A3)=TRUE, Location!M3, "")</f>
        <v/>
      </c>
      <c r="N54" s="10" t="str">
        <f>IF(ISBLANK('Onshore Event'!A22)=TRUE, 'Onshore Event'!F22, "")</f>
        <v>OSselectionMethod</v>
      </c>
      <c r="O54" s="22" t="str">
        <f>IF(ISBLANK('Onshore Event'!#REF!)=TRUE, 'Onshore Event'!#REF!, "")</f>
        <v/>
      </c>
      <c r="R54" s="10" t="str">
        <f>IF(ISBLANK('Fishing Operation'!A66)=TRUE, 'Fishing Operation'!F66, "")</f>
        <v>FOnonResponseCollected</v>
      </c>
      <c r="S54" s="22" t="str">
        <f>IF(ISBLANK('Fishing Operation'!A66)=TRUE, 'Fishing Operation'!M66, "")</f>
        <v>Indicate whether non-responses were recorded at this sampling level.</v>
      </c>
    </row>
    <row r="55" spans="10:23" x14ac:dyDescent="0.3">
      <c r="J55" s="22" t="str">
        <f>IF(ISBLANK(Location!A4)=TRUE, Location!F4, "")</f>
        <v>LOrecordType</v>
      </c>
      <c r="K55" s="22" t="str">
        <f>IF(ISBLANK(Location!A4)=TRUE, Location!M4, "")</f>
        <v>Fixed value ('LO')</v>
      </c>
      <c r="N55" s="10" t="str">
        <f>IF(ISBLANK('Onshore Event'!#REF!)=TRUE, 'Onshore Event'!#REF!, "")</f>
        <v/>
      </c>
      <c r="O55" s="22" t="str">
        <f>IF(ISBLANK('Onshore Event'!#REF!)=TRUE, 'Onshore Event'!#REF!, "")</f>
        <v/>
      </c>
      <c r="R55" s="10" t="str">
        <f>IF(ISBLANK('Fishing Operation'!A67)=TRUE, 'Fishing Operation'!F67, "")</f>
        <v>FOauxiliaryVariableTotal</v>
      </c>
      <c r="S55" s="22" t="str">
        <f>IF(ISBLANK('Fishing Operation'!A67)=TRUE, 'Fishing Operation'!M67, "")</f>
        <v>The total value of auxiliary variable in the stratum</v>
      </c>
      <c r="V55" s="24" t="s">
        <v>519</v>
      </c>
      <c r="W55" s="11"/>
    </row>
    <row r="56" spans="10:23" ht="46.8" x14ac:dyDescent="0.3">
      <c r="J56" s="22" t="str">
        <f>IF(ISBLANK(Location!A6)=TRUE, Location!F6, "")</f>
        <v>LOstratification</v>
      </c>
      <c r="K56" s="22" t="str">
        <f>IF(ISBLANK(Location!A6)=TRUE, Location!M6, "")</f>
        <v>Indicator of presence ("Y") or absence ("N") of stratification of units in that level of the sampling hierarchy</v>
      </c>
      <c r="N56" s="10" t="str">
        <f>IF(ISBLANK('Onshore Event'!A24)=TRUE, 'Onshore Event'!F24, "")</f>
        <v>OSselectionMethodCluster</v>
      </c>
      <c r="O56" s="22" t="str">
        <f>IF(ISBLANK('Onshore Event'!A24)=TRUE, 'Onshore Event'!M24, "")</f>
        <v>The method of selecting clusters</v>
      </c>
      <c r="R56" s="10" t="str">
        <f>IF(ISBLANK('Fishing Operation'!A75)=TRUE, 'Fishing Operation'!F68, "")</f>
        <v>FOauxiliaryVariableValue</v>
      </c>
      <c r="S56" s="22" t="str">
        <f>IF(ISBLANK('Fishing Operation'!A75)=TRUE, 'Fishing Operation'!M68, "")</f>
        <v>The value of auxiliary variable in the sampled unit.</v>
      </c>
      <c r="V56" s="10" t="str">
        <f>IF(ISBLANK(#REF!)=TRUE,#REF!, "")</f>
        <v/>
      </c>
      <c r="W56" s="10" t="str">
        <f>IF(ISBLANK(#REF!)=TRUE,#REF!, "")</f>
        <v/>
      </c>
    </row>
    <row r="57" spans="10:23" ht="31.2" x14ac:dyDescent="0.3">
      <c r="J57" s="22" t="str">
        <f>IF(ISBLANK(Location!#REF!)=TRUE, Location!#REF!, "")</f>
        <v/>
      </c>
      <c r="K57" s="22" t="str">
        <f>IF(ISBLANK(Location!#REF!)=TRUE, Location!#REF!, "")</f>
        <v/>
      </c>
      <c r="N57" s="10" t="str">
        <f>IF(ISBLANK('Onshore Event'!A25)=TRUE, 'Onshore Event'!F25, "")</f>
        <v>OSnumberTotalClusters</v>
      </c>
      <c r="O57" s="22" t="str">
        <f>IF(ISBLANK('Onshore Event'!A25)=TRUE, 'Onshore Event'!M25, "")</f>
        <v>Total number of clusters in that level of the sampling hierarchy</v>
      </c>
      <c r="R57" s="10" t="str">
        <f>IF(ISBLANK('Fishing Operation'!A69)=TRUE, 'Fishing Operation'!F69, "")</f>
        <v>FOauxiliaryVariableName</v>
      </c>
      <c r="S57" s="22" t="str">
        <f>IF(ISBLANK('Fishing Operation'!A69)=TRUE, 'Fishing Operation'!M69, "")</f>
        <v>Name of the auxiliary variable</v>
      </c>
      <c r="V57" s="10" t="str">
        <f>IF(ISBLANK(#REF!)=TRUE,#REF!, "")</f>
        <v/>
      </c>
      <c r="W57" s="22" t="str">
        <f>IF(ISBLANK(#REF!)=TRUE,#REF!, "")</f>
        <v/>
      </c>
    </row>
    <row r="58" spans="10:23" x14ac:dyDescent="0.3">
      <c r="J58" s="22" t="str">
        <f>IF(ISBLANK(Location!A10)=TRUE, Location!F10, "")</f>
        <v>LOstratumName</v>
      </c>
      <c r="K58" s="22" t="str">
        <f>IF(ISBLANK(Location!A10)=TRUE, Location!M10, "")</f>
        <v>Name of stratum ('U' for unstratified).</v>
      </c>
      <c r="N58" s="10" t="str">
        <f>IF(ISBLANK('Onshore Event'!A26)=TRUE, 'Onshore Event'!F26, "")</f>
        <v>OSnumberSampledClusters</v>
      </c>
      <c r="O58" s="22" t="str">
        <f>IF(ISBLANK('Onshore Event'!A26)=TRUE, 'Onshore Event'!M26, "")</f>
        <v>Total number of clusters sampled</v>
      </c>
      <c r="R58" s="10" t="str">
        <f>IF(ISBLANK('Fishing Operation'!A70)=TRUE, 'Fishing Operation'!F70, "")</f>
        <v>FOauxiliaryVariableUnit</v>
      </c>
      <c r="S58" s="22" t="str">
        <f>IF(ISBLANK('Fishing Operation'!A70)=TRUE, 'Fishing Operation'!M70, "")</f>
        <v xml:space="preserve">Auxiliary variable unit </v>
      </c>
      <c r="V58" s="10" t="str">
        <f>IF(ISBLANK(#REF!)=TRUE,#REF!, "")</f>
        <v/>
      </c>
      <c r="W58" s="22" t="str">
        <f>IF(ISBLANK(#REF!)=TRUE,#REF!, "")</f>
        <v/>
      </c>
    </row>
    <row r="59" spans="10:23" ht="46.8" x14ac:dyDescent="0.3">
      <c r="J59" s="22" t="str">
        <f>IF(ISBLANK(Location!A11)=TRUE, Location!F11, "")</f>
        <v>LOclustering</v>
      </c>
      <c r="K59" s="22" t="str">
        <f>IF(ISBLANK(Location!A11)=TRUE, Location!M11, "")</f>
        <v>Indicator existence and type of cluster sampling of units in that level of the sampling hierarchy</v>
      </c>
      <c r="N59" s="10" t="str">
        <f>IF(ISBLANK('Onshore Event'!#REF!)=TRUE, 'Onshore Event'!#REF!, "")</f>
        <v/>
      </c>
      <c r="O59" s="22" t="str">
        <f>IF(ISBLANK('Onshore Event'!#REF!)=TRUE, 'Onshore Event'!#REF!, "")</f>
        <v/>
      </c>
      <c r="V59" s="10" t="str">
        <f>IF(ISBLANK(#REF!)=TRUE,#REF!, "")</f>
        <v/>
      </c>
      <c r="W59" s="22" t="str">
        <f>IF(ISBLANK(#REF!)=TRUE,#REF!, "")</f>
        <v/>
      </c>
    </row>
    <row r="60" spans="10:23" ht="31.2" x14ac:dyDescent="0.3">
      <c r="J60" s="22" t="str">
        <f>IF(ISBLANK(Location!A12)=TRUE, Location!F12, "")</f>
        <v>LOclusterName</v>
      </c>
      <c r="K60" s="22" t="str">
        <f>IF(ISBLANK(Location!A12)=TRUE, Location!M12, "")</f>
        <v>Name or code of the cluster selected for sampling</v>
      </c>
      <c r="N60" s="10" t="str">
        <f>IF(ISBLANK('Onshore Event'!A30)=TRUE, 'Onshore Event'!F30, "")</f>
        <v>OSreasonNotSampled</v>
      </c>
      <c r="O60" s="22" t="str">
        <f>IF(ISBLANK('Onshore Event'!A30)=TRUE, 'Onshore Event'!M30, "")</f>
        <v>Reason for not sampling</v>
      </c>
      <c r="V60" s="10" t="str">
        <f>IF(ISBLANK(#REF!)=TRUE,#REF!, "")</f>
        <v/>
      </c>
      <c r="W60" s="22" t="str">
        <f>IF(ISBLANK(#REF!)=TRUE,#REF!, "")</f>
        <v/>
      </c>
    </row>
    <row r="61" spans="10:23" ht="46.8" x14ac:dyDescent="0.3">
      <c r="J61" s="22" t="str">
        <f>IF(ISBLANK(Location!A13)=TRUE, Location!F13, "")</f>
        <v>LOsampler</v>
      </c>
      <c r="K61" s="22" t="str">
        <f>IF(ISBLANK(Location!A13)=TRUE, Location!M13, "")</f>
        <v>Self-sampling, Observer, Control, Electronic Monitoring (EM). In the future potential combinations of e.g. observer and EM</v>
      </c>
      <c r="N61" s="10" t="str">
        <f>IF(ISBLANK('Onshore Event'!A31)=TRUE, 'Onshore Event'!F31, "")</f>
        <v>OSnonResponseCollected</v>
      </c>
      <c r="O61" s="10" t="str">
        <f>IF(ISBLANK('Onshore Event'!A31)=TRUE, 'Onshore Event'!M31, "")</f>
        <v>Indicate whether non-responses were recorded at this sampling level.</v>
      </c>
      <c r="V61" s="10" t="str">
        <f>IF(ISBLANK(#REF!)=TRUE,#REF!, "")</f>
        <v/>
      </c>
      <c r="W61" s="22" t="str">
        <f>IF(ISBLANK(#REF!)=TRUE,#REF!, "")</f>
        <v/>
      </c>
    </row>
    <row r="62" spans="10:23" ht="31.2" x14ac:dyDescent="0.3">
      <c r="J62" s="22" t="str">
        <f>IF(ISBLANK(Location!A14)=TRUE, Location!F14, "")</f>
        <v>LOnumberTotal</v>
      </c>
      <c r="K62" s="22" t="str">
        <f>IF(ISBLANK(Location!A14)=TRUE, Location!M14, "")</f>
        <v>Total number of unique locations in this stratum/cluster.</v>
      </c>
      <c r="V62" s="10" t="str">
        <f>IF(ISBLANK(#REF!)=TRUE,#REF!, "")</f>
        <v/>
      </c>
      <c r="W62" s="22" t="str">
        <f>IF(ISBLANK(#REF!)=TRUE,#REF!, "")</f>
        <v/>
      </c>
    </row>
    <row r="63" spans="10:23" ht="109.2" x14ac:dyDescent="0.3">
      <c r="J63" s="22" t="str">
        <f>IF(ISBLANK(Location!A15)=TRUE, Location!F15, "")</f>
        <v>LOnumberSampled</v>
      </c>
      <c r="K63" s="22" t="str">
        <f>IF(ISBLANK(Location!A15)=TRUE, Location!M15, "")</f>
        <v>The number of times the locations was sampled in this stratum/cluster (not necessarily an unique location, the same location could be sampled multiple times) . If 3 samples was made and one location was selected twice, the number of locations sampled is 3.</v>
      </c>
      <c r="V63" s="10" t="str">
        <f>IF(ISBLANK(#REF!)=TRUE,#REF!, "")</f>
        <v/>
      </c>
      <c r="W63" s="22" t="str">
        <f>IF(ISBLANK(#REF!)=TRUE,#REF!, "")</f>
        <v/>
      </c>
    </row>
    <row r="64" spans="10:23" x14ac:dyDescent="0.3">
      <c r="J64" s="22" t="str">
        <f>IF(ISBLANK(Location!#REF!)=TRUE, Location!#REF!, "")</f>
        <v/>
      </c>
      <c r="K64" s="22" t="str">
        <f>IF(ISBLANK(Location!#REF!)=TRUE, Location!#REF!, "")</f>
        <v/>
      </c>
      <c r="V64" s="10" t="str">
        <f>IF(ISBLANK(#REF!)=TRUE,#REF!, "")</f>
        <v/>
      </c>
      <c r="W64" s="22" t="str">
        <f>IF(ISBLANK(#REF!)=TRUE,#REF!, "")</f>
        <v/>
      </c>
    </row>
    <row r="65" spans="10:23" ht="31.2" x14ac:dyDescent="0.3">
      <c r="J65" s="22" t="str">
        <f>IF(ISBLANK(Location!A18)=TRUE, Location!F18, "")</f>
        <v>LOselectionMethod</v>
      </c>
      <c r="K65" s="22" t="str">
        <f>IF(ISBLANK(Location!A18)=TRUE, Location!M18, "")</f>
        <v>The method of selecting units of time for sampling</v>
      </c>
      <c r="V65" s="10" t="str">
        <f>IF(ISBLANK(#REF!)=TRUE,#REF!, "")</f>
        <v/>
      </c>
      <c r="W65" s="22" t="str">
        <f>IF(ISBLANK(#REF!)=TRUE,#REF!, "")</f>
        <v/>
      </c>
    </row>
    <row r="66" spans="10:23" x14ac:dyDescent="0.3">
      <c r="J66" s="22" t="str">
        <f>IF(ISBLANK(Location!A19)=TRUE, Location!F19, "")</f>
        <v>LOunitName</v>
      </c>
      <c r="K66" s="22" t="str">
        <f>IF(ISBLANK(Location!A19)=TRUE, Location!M19, "")</f>
        <v>The unique name of this unit.</v>
      </c>
      <c r="N66" s="12" t="s">
        <v>2</v>
      </c>
      <c r="O66" s="11"/>
      <c r="V66" s="10" t="str">
        <f>IF(ISBLANK(#REF!)=TRUE,#REF!, "")</f>
        <v/>
      </c>
      <c r="W66" s="22" t="str">
        <f>IF(ISBLANK(#REF!)=TRUE,#REF!, "")</f>
        <v/>
      </c>
    </row>
    <row r="67" spans="10:23" ht="31.2" x14ac:dyDescent="0.3">
      <c r="J67" s="22" t="str">
        <f>IF(ISBLANK(Location!A20)=TRUE, Location!F20, "")</f>
        <v>LOselectionMethodCluster</v>
      </c>
      <c r="K67" s="22" t="str">
        <f>IF(ISBLANK(Location!A20)=TRUE, Location!M20, "")</f>
        <v>The method of selecting clusters</v>
      </c>
      <c r="N67" s="10" t="str">
        <f>IF(ISBLANK('Landing event'!A2)=TRUE, 'Landing event'!F2, "")</f>
        <v/>
      </c>
      <c r="O67" s="22" t="str">
        <f>IF(ISBLANK('Landing event'!A2)=TRUE,'Landing event'!M2, "")</f>
        <v/>
      </c>
      <c r="V67" s="10" t="str">
        <f>IF(ISBLANK(#REF!)=TRUE,#REF!, "")</f>
        <v/>
      </c>
      <c r="W67" s="22" t="str">
        <f>IF(ISBLANK(#REF!)=TRUE,#REF!, "")</f>
        <v/>
      </c>
    </row>
    <row r="68" spans="10:23" ht="31.2" x14ac:dyDescent="0.3">
      <c r="J68" s="22" t="str">
        <f>IF(ISBLANK(Location!A21)=TRUE, Location!F21, "")</f>
        <v>LOnumberTotalClusters</v>
      </c>
      <c r="K68" s="22" t="str">
        <f>IF(ISBLANK(Location!A21)=TRUE, Location!M21, "")</f>
        <v>Total number of clusters in that level of the sampling hierarchy</v>
      </c>
      <c r="N68" s="10" t="str">
        <f>IF(ISBLANK('Landing event'!A3)=TRUE, 'Landing event'!F3, "")</f>
        <v/>
      </c>
      <c r="O68" s="22" t="str">
        <f>IF(ISBLANK('Landing event'!A3)=TRUE,'Landing event'!M3, "")</f>
        <v/>
      </c>
      <c r="V68" s="10" t="str">
        <f>IF(ISBLANK(#REF!)=TRUE,#REF!, "")</f>
        <v/>
      </c>
      <c r="W68" s="10" t="str">
        <f>IF(ISBLANK(#REF!)=TRUE,#REF!, "")</f>
        <v/>
      </c>
    </row>
    <row r="69" spans="10:23" ht="31.2" x14ac:dyDescent="0.3">
      <c r="J69" s="22" t="str">
        <f>IF(ISBLANK(Location!A22)=TRUE, Location!F22, "")</f>
        <v>LOnumberSampledClusters</v>
      </c>
      <c r="K69" s="22" t="str">
        <f>IF(ISBLANK(Location!A22)=TRUE, Location!M22, "")</f>
        <v>Total number of clusters sampled</v>
      </c>
      <c r="N69" s="10" t="str">
        <f>IF(ISBLANK('Landing event'!A4)=TRUE, 'Landing event'!F4, "")</f>
        <v/>
      </c>
      <c r="O69" s="22" t="str">
        <f>IF(ISBLANK('Landing event'!A4)=TRUE,'Landing event'!M4, "")</f>
        <v/>
      </c>
      <c r="V69" s="10" t="str">
        <f>IF(ISBLANK(#REF!)=TRUE,#REF!, "")</f>
        <v/>
      </c>
      <c r="W69" s="10" t="str">
        <f>IF(ISBLANK(#REF!)=TRUE,#REF!, "")</f>
        <v/>
      </c>
    </row>
    <row r="70" spans="10:23" x14ac:dyDescent="0.3">
      <c r="J70" s="22" t="str">
        <f>IF(ISBLANK(Location!#REF!)=TRUE, Location!#REF!, "")</f>
        <v/>
      </c>
      <c r="K70" s="22" t="str">
        <f>IF(ISBLANK(Location!#REF!)=TRUE, Location!#REF!, "")</f>
        <v/>
      </c>
      <c r="N70" s="10" t="str">
        <f>IF(ISBLANK('Landing event'!A5)=TRUE, 'Landing event'!F5, "")</f>
        <v/>
      </c>
      <c r="O70" s="22" t="str">
        <f>IF(ISBLANK('Landing event'!A5)=TRUE,'Landing event'!M5, "")</f>
        <v/>
      </c>
    </row>
    <row r="71" spans="10:23" x14ac:dyDescent="0.3">
      <c r="J71" s="22" t="str">
        <f>IF(ISBLANK(Location!A26)=TRUE, Location!F26, "")</f>
        <v>LOreasonNotSampled</v>
      </c>
      <c r="K71" s="22" t="str">
        <f>IF(ISBLANK(Location!A26)=TRUE, Location!M26, "")</f>
        <v>Reason for not sampling</v>
      </c>
      <c r="N71" s="10" t="str">
        <f>IF(ISBLANK('Landing event'!A6)=TRUE, 'Landing event'!F6, "")</f>
        <v/>
      </c>
      <c r="O71" s="22" t="str">
        <f>IF(ISBLANK('Landing event'!A6)=TRUE,'Landing event'!M6, "")</f>
        <v/>
      </c>
    </row>
    <row r="72" spans="10:23" ht="31.2" x14ac:dyDescent="0.3">
      <c r="J72" s="22" t="str">
        <f>IF(ISBLANK(Location!A27)=TRUE, Location!F27, "")</f>
        <v>LOnonResponseCollected</v>
      </c>
      <c r="K72" s="22" t="str">
        <f>IF(ISBLANK(Location!A27)=TRUE, Location!M27, "")</f>
        <v>Indicate whether non-responses were recorded at this sampling level.</v>
      </c>
      <c r="N72" s="10" t="str">
        <f>IF(ISBLANK('Landing event'!A7)=TRUE, 'Landing event'!F7, "")</f>
        <v/>
      </c>
      <c r="O72" s="22" t="str">
        <f>IF(ISBLANK('Landing event'!A7)=TRUE,'Landing event'!M7, "")</f>
        <v/>
      </c>
    </row>
    <row r="73" spans="10:23" ht="31.2" x14ac:dyDescent="0.3">
      <c r="J73" s="22" t="str">
        <f>IF(ISBLANK(Location!A35)=TRUE, Location!F28, "")</f>
        <v>LOauxiliaryVariableTotal</v>
      </c>
      <c r="K73" s="22" t="str">
        <f>IF(ISBLANK(Location!A35)=TRUE, Location!M28, "")</f>
        <v>The total value of auxiliary variable in the stratum</v>
      </c>
      <c r="N73" s="10" t="str">
        <f>IF(ISBLANK('Landing event'!A9)=TRUE, 'Landing event'!F9, "")</f>
        <v/>
      </c>
      <c r="O73" s="22" t="str">
        <f>IF(ISBLANK('Landing event'!A9)=TRUE,'Landing event'!M9, "")</f>
        <v/>
      </c>
    </row>
    <row r="74" spans="10:23" ht="31.2" x14ac:dyDescent="0.3">
      <c r="J74" s="22" t="str">
        <f>IF(ISBLANK(Location!A36)=TRUE, Location!F29, "")</f>
        <v>LOauxiliaryVariableValue</v>
      </c>
      <c r="K74" s="22" t="str">
        <f>IF(ISBLANK(Location!A36)=TRUE, Location!M29, "")</f>
        <v>The value of auxiliary variable in the sampled unit.</v>
      </c>
      <c r="N74" s="10" t="str">
        <f>IF(ISBLANK('Landing event'!A10)=TRUE, 'Landing event'!F10, "")</f>
        <v>LErecordType</v>
      </c>
      <c r="O74" s="22" t="str">
        <f>IF(ISBLANK('Landing event'!A10)=TRUE,'Landing event'!M10, "")</f>
        <v>Fixed value ('LE')</v>
      </c>
    </row>
    <row r="75" spans="10:23" ht="46.8" x14ac:dyDescent="0.3">
      <c r="N75" s="10" t="str">
        <f>IF(ISBLANK('Landing event'!A12)=TRUE, 'Landing event'!F12, "")</f>
        <v>LEstratification</v>
      </c>
      <c r="O75" s="22" t="str">
        <f>IF(ISBLANK('Landing event'!A12)=TRUE,'Landing event'!M12, "")</f>
        <v>Indicator of presence ("Y") or absence ("N") of stratification of units in that level of the sampling hierarchy</v>
      </c>
    </row>
    <row r="76" spans="10:23" ht="62.4" x14ac:dyDescent="0.3">
      <c r="N76" s="10" t="str">
        <f>IF(ISBLANK('Landing event'!A13)=TRUE, 'Landing event'!F13, "")</f>
        <v>LEsequenceNumber</v>
      </c>
      <c r="O76" s="22" t="str">
        <f>IF(ISBLANK('Landing event'!A13)=TRUE,'Landing event'!M13, "")</f>
        <v>Sequential numbering by landing event. The sequence number identify the selections made with in each strata and cluster combination. Preperably representing the order of the selections.</v>
      </c>
    </row>
    <row r="77" spans="10:23" ht="31.2" x14ac:dyDescent="0.3">
      <c r="N77" s="10" t="str">
        <f>IF(ISBLANK('Landing event'!A14)=TRUE, 'Landing event'!F14, "")</f>
        <v>LEhaulNumber</v>
      </c>
      <c r="O77" s="22" t="str">
        <f>IF(ISBLANK('Landing event'!A14)=TRUE,'Landing event'!M14, "")</f>
        <v>The haul number (if there is one) for this LandingEvent record.</v>
      </c>
    </row>
    <row r="78" spans="10:23" ht="46.8" x14ac:dyDescent="0.3">
      <c r="N78" s="10" t="str">
        <f>IF(ISBLANK('Landing event'!A15)=TRUE, 'Landing event'!F15, "")</f>
        <v>LEstratumName</v>
      </c>
      <c r="O78" s="22" t="str">
        <f>IF(ISBLANK('Landing event'!A15)=TRUE,'Landing event'!M15, "")</f>
        <v>Name of stratum ('U' for unstratified). Typically Unstratified but could be e.g. demersal landings and pelagic landings.</v>
      </c>
    </row>
    <row r="79" spans="10:23" ht="31.2" x14ac:dyDescent="0.3">
      <c r="N79" s="10" t="str">
        <f>IF(ISBLANK('Landing event'!A16)=TRUE, 'Landing event'!F16, "")</f>
        <v>LEclustering</v>
      </c>
      <c r="O79" s="22" t="str">
        <f>IF(ISBLANK('Landing event'!A16)=TRUE,'Landing event'!M16, "")</f>
        <v>Indicator existence and type of cluster sampling of units in that level of the sampling hierarchy</v>
      </c>
    </row>
    <row r="80" spans="10:23" x14ac:dyDescent="0.3">
      <c r="N80" s="10" t="str">
        <f>IF(ISBLANK('Landing event'!A17)=TRUE, 'Landing event'!F17, "")</f>
        <v>LEclusterName</v>
      </c>
      <c r="O80" s="22" t="str">
        <f>IF(ISBLANK('Landing event'!A17)=TRUE,'Landing event'!M17, "")</f>
        <v>Name or code of the cluster selected for sampling</v>
      </c>
    </row>
    <row r="81" spans="9:15" ht="46.8" x14ac:dyDescent="0.3">
      <c r="N81" s="10" t="str">
        <f>IF(ISBLANK('Landing event'!A18)=TRUE, 'Landing event'!F18, "")</f>
        <v>LEsampler</v>
      </c>
      <c r="O81" s="22" t="str">
        <f>IF(ISBLANK('Landing event'!A18)=TRUE,'Landing event'!M18, "")</f>
        <v>Self-sampling, Observer, Control, Electronic Monitoring (EM). In the future potential combinations of e.g. observer and EM</v>
      </c>
    </row>
    <row r="82" spans="9:15" x14ac:dyDescent="0.3">
      <c r="N82" s="10" t="str">
        <f>IF(ISBLANK('Landing event'!A19)=TRUE, 'Landing event'!F19, "")</f>
        <v>LEmixedTrip</v>
      </c>
      <c r="O82" s="22" t="str">
        <f>IF(ISBLANK('Landing event'!A19)=TRUE,'Landing event'!M19, "")</f>
        <v xml:space="preserve">Have these landings come from a mix of trips? </v>
      </c>
    </row>
    <row r="83" spans="9:15" ht="78" x14ac:dyDescent="0.3">
      <c r="N83" s="10" t="str">
        <f>IF(ISBLANK('Landing event'!A20)=TRUE, 'Landing event'!F20, "")</f>
        <v>LEcatchReg</v>
      </c>
      <c r="O83" s="22" t="str">
        <f>IF(ISBLANK('Landing event'!A20)=TRUE,'Landing event'!M20, "")</f>
        <v>Registers what components of catch are expected in the species selection table options: All – either Catch or Lan+Dis rows expected next table);  Lan – only landings expected in next table; Dis – only discard expected in next table; None – no next table.</v>
      </c>
    </row>
    <row r="84" spans="9:15" x14ac:dyDescent="0.3">
      <c r="I84" s="9">
        <f>IF(ISBLANK('Landing event'!A48)=TRUE, 'Landing event'!B48, "")</f>
        <v>0</v>
      </c>
      <c r="N84" s="10" t="str">
        <f>IF(ISBLANK('Landing event'!A21)=TRUE, 'Landing event'!F21, "")</f>
        <v>LElocode</v>
      </c>
      <c r="O84" s="22" t="str">
        <f>IF(ISBLANK('Landing event'!A21)=TRUE,'Landing event'!M21, "")</f>
        <v>The LOCODE for the location of this LandingEvent.</v>
      </c>
    </row>
    <row r="85" spans="9:15" x14ac:dyDescent="0.3">
      <c r="I85" s="9" t="str">
        <f>IF(ISBLANK('Landing event'!#REF!)=TRUE, 'Landing event'!#REF!, "")</f>
        <v/>
      </c>
      <c r="N85" s="10" t="str">
        <f>IF(ISBLANK('Landing event'!A23)=TRUE, 'Landing event'!F23, "")</f>
        <v>LElocationType</v>
      </c>
      <c r="O85" s="22" t="str">
        <f>IF(ISBLANK('Landing event'!A23)=TRUE,'Landing event'!M23, "")</f>
        <v>Type of LandingEvent location</v>
      </c>
    </row>
    <row r="86" spans="9:15" x14ac:dyDescent="0.3">
      <c r="I86" s="9">
        <f>IF(ISBLANK('Landing event'!A51)=TRUE, 'Landing event'!B51, "")</f>
        <v>0</v>
      </c>
      <c r="N86" s="10" t="str">
        <f>IF(ISBLANK('Landing event'!A24)=TRUE, 'Landing event'!F24, "")</f>
        <v>LEcountry</v>
      </c>
      <c r="O86" s="22" t="str">
        <f>IF(ISBLANK('Landing event'!A24)=TRUE,'Landing event'!M24, "")</f>
        <v xml:space="preserve">The country that this LandingEvent location is in. </v>
      </c>
    </row>
    <row r="87" spans="9:15" x14ac:dyDescent="0.3">
      <c r="I87" s="9">
        <f>IF(ISBLANK('Landing event'!A61)=TRUE, 'Landing event'!B61, "")</f>
        <v>0</v>
      </c>
      <c r="N87" s="10" t="str">
        <f>IF(ISBLANK('Landing event'!A25)=TRUE, 'Landing event'!F25, "")</f>
        <v>LEdate</v>
      </c>
      <c r="O87" s="22" t="str">
        <f>IF(ISBLANK('Landing event'!A25)=TRUE,'Landing event'!M25, "")</f>
        <v>The date of the LandingEvent</v>
      </c>
    </row>
    <row r="88" spans="9:15" x14ac:dyDescent="0.3">
      <c r="I88" s="9">
        <f>IF(ISBLANK('Landing event'!A63)=TRUE, 'Landing event'!B63, "")</f>
        <v>0</v>
      </c>
      <c r="N88" s="10" t="str">
        <f>IF(ISBLANK('Landing event'!A26)=TRUE, 'Landing event'!F26, "")</f>
        <v>LEtime</v>
      </c>
      <c r="O88" s="22" t="str">
        <f>IF(ISBLANK('Landing event'!A26)=TRUE,'Landing event'!M26, "")</f>
        <v>The time that this LandingEvent took place</v>
      </c>
    </row>
    <row r="89" spans="9:15" x14ac:dyDescent="0.3">
      <c r="I89" s="9">
        <f>IF(ISBLANK('Landing event'!A69)=TRUE, 'Landing event'!B65, "")</f>
        <v>0</v>
      </c>
      <c r="N89" s="10" t="str">
        <f>IF(ISBLANK('Landing event'!A27)=TRUE, 'Landing event'!F27, "")</f>
        <v>LEexclusiveEconomicZoneIndicator</v>
      </c>
      <c r="O89" s="22" t="str">
        <f>IF(ISBLANK('Landing event'!A27)=TRUE,'Landing event'!M27, "")</f>
        <v>Exclusive Economic Zone indicator.</v>
      </c>
    </row>
    <row r="90" spans="9:15" x14ac:dyDescent="0.3">
      <c r="I90" s="9">
        <f>IF(ISBLANK('Landing event'!A66)=TRUE, 'Landing event'!B66, "")</f>
        <v>0</v>
      </c>
      <c r="N90" s="10" t="str">
        <f>IF(ISBLANK('Landing event'!A28)=TRUE, 'Landing event'!F28, "")</f>
        <v>LEarea</v>
      </c>
      <c r="O90" s="22" t="str">
        <f>IF(ISBLANK('Landing event'!A28)=TRUE,'Landing event'!M28, "")</f>
        <v xml:space="preserve">The area that this LandingEvent was caught in. </v>
      </c>
    </row>
    <row r="91" spans="9:15" x14ac:dyDescent="0.3">
      <c r="N91" s="10" t="str">
        <f>IF(ISBLANK('Landing event'!A29)=TRUE, 'Landing event'!F29, "")</f>
        <v>LErectangle</v>
      </c>
      <c r="O91" s="22" t="str">
        <f>IF(ISBLANK('Landing event'!A29)=TRUE,'Landing event'!M29, "")</f>
        <v xml:space="preserve">The rectangle that this LandingEvent was caught in. </v>
      </c>
    </row>
    <row r="92" spans="9:15" ht="31.2" x14ac:dyDescent="0.3">
      <c r="N92" s="10" t="str">
        <f>IF(ISBLANK('Landing event'!A32)=TRUE, 'Landing event'!F32, "")</f>
        <v>LEjurisdictionArea</v>
      </c>
      <c r="O92" s="22" t="str">
        <f>IF(ISBLANK('Landing event'!A32)=TRUE,'Landing event'!M32, "")</f>
        <v xml:space="preserve">Area belonging to a country or a part of an area used by Long Distance Fisheries. </v>
      </c>
    </row>
    <row r="93" spans="9:15" x14ac:dyDescent="0.3">
      <c r="N93" s="10" t="str">
        <f>IF(ISBLANK('Landing event'!#REF!)=TRUE, 'Landing event'!#REF!, "")</f>
        <v/>
      </c>
      <c r="O93" s="22" t="str">
        <f>IF(ISBLANK('Landing event'!#REF!)=TRUE,'Landing event'!#REF!, "")</f>
        <v/>
      </c>
    </row>
    <row r="94" spans="9:15" x14ac:dyDescent="0.3">
      <c r="N94" s="10" t="str">
        <f>IF(ISBLANK('Landing event'!A35)=TRUE, 'Landing event'!F35, "")</f>
        <v>LEnationalFishingActivity</v>
      </c>
      <c r="O94" s="22" t="str">
        <f>IF(ISBLANK('Landing event'!A35)=TRUE,'Landing event'!M35, "")</f>
        <v>Country specific national fishing gear</v>
      </c>
    </row>
    <row r="95" spans="9:15" x14ac:dyDescent="0.3">
      <c r="N95" s="10" t="str">
        <f>IF(ISBLANK('Landing event'!A36)=TRUE, 'Landing event'!F36, "")</f>
        <v>LEmetier5</v>
      </c>
      <c r="O95" s="22" t="str">
        <f>IF(ISBLANK('Landing event'!A36)=TRUE,'Landing event'!M36, "")</f>
        <v>Level 5 metier</v>
      </c>
    </row>
    <row r="96" spans="9:15" x14ac:dyDescent="0.3">
      <c r="N96" s="10" t="str">
        <f>IF(ISBLANK('Landing event'!A37)=TRUE, 'Landing event'!F37, "")</f>
        <v>LEmetier6</v>
      </c>
      <c r="O96" s="22" t="str">
        <f>IF(ISBLANK('Landing event'!A37)=TRUE,'Landing event'!M37, "")</f>
        <v>Level 6 metier</v>
      </c>
    </row>
    <row r="97" spans="14:15" x14ac:dyDescent="0.3">
      <c r="N97" s="10" t="str">
        <f>IF(ISBLANK('Landing event'!A38)=TRUE, 'Landing event'!F38, "")</f>
        <v>LEgear</v>
      </c>
      <c r="O97" s="22" t="str">
        <f>IF(ISBLANK('Landing event'!A38)=TRUE,'Landing event'!M38, "")</f>
        <v>The FAO gear code.</v>
      </c>
    </row>
    <row r="98" spans="14:15" x14ac:dyDescent="0.3">
      <c r="N98" s="10" t="str">
        <f>IF(ISBLANK('Landing event'!A41)=TRUE, 'Landing event'!F41, "")</f>
        <v>LEmeshSize</v>
      </c>
      <c r="O98" s="22" t="str">
        <f>IF(ISBLANK('Landing event'!A41)=TRUE,'Landing event'!M41, "")</f>
        <v>Mesh size</v>
      </c>
    </row>
    <row r="99" spans="14:15" x14ac:dyDescent="0.3">
      <c r="N99" s="10" t="str">
        <f>IF(ISBLANK('Landing event'!A42)=TRUE, 'Landing event'!F42, "")</f>
        <v>LEselectionDevice</v>
      </c>
      <c r="O99" s="22" t="str">
        <f>IF(ISBLANK('Landing event'!A42)=TRUE,'Landing event'!M42, "")</f>
        <v>Selection device</v>
      </c>
    </row>
    <row r="100" spans="14:15" x14ac:dyDescent="0.3">
      <c r="N100" s="10" t="str">
        <f>IF(ISBLANK('Landing event'!A43)=TRUE, 'Landing event'!F43, "")</f>
        <v>LEselectionDeviceMeshSize</v>
      </c>
      <c r="O100" s="22" t="str">
        <f>IF(ISBLANK('Landing event'!A43)=TRUE,'Landing event'!M43, "")</f>
        <v>Selection device mesh size (mm)</v>
      </c>
    </row>
    <row r="101" spans="14:15" x14ac:dyDescent="0.3">
      <c r="N101" s="10" t="str">
        <f>IF(ISBLANK('Landing event'!A44)=TRUE, 'Landing event'!F44, "")</f>
        <v>LEtargetSpecies</v>
      </c>
      <c r="O101" s="22" t="str">
        <f>IF(ISBLANK('Landing event'!A44)=TRUE,'Landing event'!M44, "")</f>
        <v>Target species assemblage</v>
      </c>
    </row>
    <row r="102" spans="14:15" ht="46.8" x14ac:dyDescent="0.3">
      <c r="N102" s="10" t="str">
        <f>IF(ISBLANK('Landing event'!A47)=TRUE, 'Landing event'!F47, "")</f>
        <v>LEnumberTotal</v>
      </c>
      <c r="O102" s="22" t="str">
        <f>IF(ISBLANK('Landing event'!A47)=TRUE,'Landing event'!M47, "")</f>
        <v>Total number of unique Landing Event in the stratum/cluster. The total number of Landing Events at an e.g. Port in that stratum/cluster.</v>
      </c>
    </row>
    <row r="103" spans="14:15" ht="93.6" x14ac:dyDescent="0.3">
      <c r="N103" s="10" t="str">
        <f>IF(ISBLANK('Landing event'!A48)=TRUE, 'Landing event'!F48, "")</f>
        <v>LEnumberSampled</v>
      </c>
      <c r="O103" s="22" t="str">
        <f>IF(ISBLANK('Landing event'!A48)=TRUE,'Landing event'!M48, "")</f>
        <v>The number of Landing Events sampled in this stratum/cluster (not necessarily unique Landing Events, the same Landing Event could be sampled multiple times). If 3 samples was made and one Landing Event  was selected twice, the number of Landing Events sampled is 3.</v>
      </c>
    </row>
    <row r="104" spans="14:15" x14ac:dyDescent="0.3">
      <c r="N104" s="10" t="str">
        <f>IF(ISBLANK('Landing event'!#REF!)=TRUE, 'Landing event'!#REF!, "")</f>
        <v/>
      </c>
      <c r="O104" s="22" t="str">
        <f>IF(ISBLANK('Landing event'!#REF!)=TRUE,'Landing event'!#REF!, "")</f>
        <v/>
      </c>
    </row>
    <row r="105" spans="14:15" x14ac:dyDescent="0.3">
      <c r="N105" s="10" t="str">
        <f>IF(ISBLANK('Landing event'!A51)=TRUE, 'Landing event'!F51, "")</f>
        <v>LEselectionMethod</v>
      </c>
      <c r="O105" s="22" t="str">
        <f>IF(ISBLANK('Landing event'!A51)=TRUE,'Landing event'!M51, "")</f>
        <v>The method of selecting Landing Events for sampling</v>
      </c>
    </row>
    <row r="106" spans="14:15" x14ac:dyDescent="0.3">
      <c r="N106" s="10" t="str">
        <f>IF(ISBLANK('Landing event'!A53)=TRUE, 'Landing event'!F53, "")</f>
        <v>LEselectionMethodCluster</v>
      </c>
      <c r="O106" s="22" t="str">
        <f>IF(ISBLANK('Landing event'!A53)=TRUE,'Landing event'!M53, "")</f>
        <v>The method of selecting clusters</v>
      </c>
    </row>
    <row r="107" spans="14:15" ht="31.2" x14ac:dyDescent="0.3">
      <c r="N107" s="10" t="str">
        <f>IF(ISBLANK('Landing event'!A54)=TRUE, 'Landing event'!F54, "")</f>
        <v>LEnumberTotalClusters</v>
      </c>
      <c r="O107" s="22" t="str">
        <f>IF(ISBLANK('Landing event'!A54)=TRUE,'Landing event'!M54, "")</f>
        <v>Total number of clusters in that level of the sampling hierarchy</v>
      </c>
    </row>
    <row r="108" spans="14:15" x14ac:dyDescent="0.3">
      <c r="N108" s="10" t="str">
        <f>IF(ISBLANK('Landing event'!A55)=TRUE, 'Landing event'!F55, "")</f>
        <v>LEnumberSampledClusters</v>
      </c>
      <c r="O108" s="22" t="str">
        <f>IF(ISBLANK('Landing event'!A55)=TRUE,'Landing event'!M55, "")</f>
        <v>Total number of clusters sampled</v>
      </c>
    </row>
    <row r="109" spans="14:15" x14ac:dyDescent="0.3">
      <c r="N109" s="10" t="str">
        <f>IF(ISBLANK('Landing event'!#REF!)=TRUE, 'Landing event'!#REF!, "")</f>
        <v/>
      </c>
      <c r="O109" s="22" t="str">
        <f>IF(ISBLANK('Landing event'!#REF!)=TRUE,'Landing event'!#REF!, "")</f>
        <v/>
      </c>
    </row>
    <row r="110" spans="14:15" x14ac:dyDescent="0.3">
      <c r="N110" s="10" t="str">
        <f>IF(ISBLANK('Landing event'!A59)=TRUE, 'Landing event'!F59, "")</f>
        <v>LEreasonNotSampled</v>
      </c>
      <c r="O110" s="22" t="str">
        <f>IF(ISBLANK('Landing event'!A59)=TRUE,'Landing event'!M59, "")</f>
        <v>Reason for not sampling</v>
      </c>
    </row>
    <row r="111" spans="14:15" x14ac:dyDescent="0.3">
      <c r="N111" s="10" t="str">
        <f>IF(ISBLANK('Landing event'!A61)=TRUE, 'Landing event'!F61, "")</f>
        <v>LEfullTripAvailable</v>
      </c>
      <c r="O111" s="22" t="str">
        <f>IF(ISBLANK('Landing event'!A61)=TRUE,'Landing event'!M61, "")</f>
        <v>Yes, No, unknown</v>
      </c>
    </row>
    <row r="112" spans="14:15" x14ac:dyDescent="0.3">
      <c r="N112" s="10" t="str">
        <f>IF(ISBLANK('Landing event'!A63)=TRUE, 'Landing event'!F63, "")</f>
        <v>LEauxiliaryVariableValue</v>
      </c>
      <c r="O112" s="22" t="str">
        <f>IF(ISBLANK('Landing event'!A63)=TRUE,'Landing event'!M63, "")</f>
        <v>The value of auxiliary variable in the sampled unit.</v>
      </c>
    </row>
  </sheetData>
  <sortState xmlns:xlrd2="http://schemas.microsoft.com/office/spreadsheetml/2017/richdata2" ref="AF43:AG44">
    <sortCondition ref="AF43"/>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tabSelected="1" topLeftCell="E1" zoomScale="110" zoomScaleNormal="110" workbookViewId="0">
      <selection activeCell="A35" sqref="A35"/>
    </sheetView>
  </sheetViews>
  <sheetFormatPr defaultColWidth="8.77734375" defaultRowHeight="14.4" x14ac:dyDescent="0.3"/>
  <cols>
    <col min="1" max="1" width="6.21875" style="2" bestFit="1" customWidth="1"/>
    <col min="2" max="2" width="9" style="2" customWidth="1"/>
    <col min="3" max="3" width="15" style="2" customWidth="1"/>
    <col min="4" max="4" width="7.44140625" style="2" customWidth="1"/>
    <col min="5" max="5" width="26.44140625" style="2" customWidth="1"/>
    <col min="6" max="6" width="23.77734375" style="2" customWidth="1"/>
    <col min="7" max="7" width="16.44140625" style="2" customWidth="1"/>
    <col min="8" max="8" width="11.77734375" style="2" customWidth="1"/>
    <col min="9" max="9" width="9.44140625" style="2" customWidth="1"/>
    <col min="10" max="10" width="9.21875" style="2" customWidth="1"/>
    <col min="11" max="11" width="21.21875" style="37" customWidth="1"/>
    <col min="12" max="12" width="35" style="2" customWidth="1"/>
    <col min="13" max="13" width="50.44140625" style="2" customWidth="1"/>
  </cols>
  <sheetData>
    <row r="1" spans="1:13" ht="24.6" x14ac:dyDescent="0.3">
      <c r="A1" s="62" t="s">
        <v>41</v>
      </c>
      <c r="B1" s="63" t="s">
        <v>99</v>
      </c>
      <c r="C1" s="63" t="s">
        <v>105</v>
      </c>
      <c r="D1" s="63" t="s">
        <v>5</v>
      </c>
      <c r="E1" s="63" t="s">
        <v>984</v>
      </c>
      <c r="F1" s="63" t="s">
        <v>100</v>
      </c>
      <c r="G1" s="63" t="s">
        <v>288</v>
      </c>
      <c r="H1" s="63" t="s">
        <v>6</v>
      </c>
      <c r="I1" s="63" t="s">
        <v>215</v>
      </c>
      <c r="J1" s="63" t="s">
        <v>7</v>
      </c>
      <c r="K1" s="63" t="s">
        <v>987</v>
      </c>
      <c r="L1" s="63" t="s">
        <v>8</v>
      </c>
      <c r="M1" s="63" t="s">
        <v>98</v>
      </c>
    </row>
    <row r="2" spans="1:13" ht="24.6" x14ac:dyDescent="0.3">
      <c r="A2" s="21" t="s">
        <v>12</v>
      </c>
      <c r="B2" s="21" t="s">
        <v>57</v>
      </c>
      <c r="C2" s="21"/>
      <c r="D2" s="21" t="s">
        <v>849</v>
      </c>
      <c r="E2" s="21" t="s">
        <v>101</v>
      </c>
      <c r="F2" s="21" t="s">
        <v>293</v>
      </c>
      <c r="G2" s="21" t="s">
        <v>293</v>
      </c>
      <c r="H2" s="21" t="s">
        <v>13</v>
      </c>
      <c r="I2" s="21"/>
      <c r="J2" s="21"/>
      <c r="K2" s="21"/>
      <c r="L2" s="21" t="s">
        <v>707</v>
      </c>
      <c r="M2" s="21" t="s">
        <v>102</v>
      </c>
    </row>
    <row r="3" spans="1:13" s="2" customFormat="1" ht="12" x14ac:dyDescent="0.25">
      <c r="A3" s="21"/>
      <c r="B3" s="21"/>
      <c r="C3" s="21"/>
      <c r="D3" s="21">
        <v>1</v>
      </c>
      <c r="E3" s="21" t="s">
        <v>9</v>
      </c>
      <c r="F3" s="21" t="s">
        <v>289</v>
      </c>
      <c r="G3" s="21" t="s">
        <v>294</v>
      </c>
      <c r="H3" s="21" t="s">
        <v>10</v>
      </c>
      <c r="I3" s="21" t="s">
        <v>11</v>
      </c>
      <c r="J3" s="45" t="s">
        <v>113</v>
      </c>
      <c r="K3" s="45"/>
      <c r="L3" s="21" t="s">
        <v>55</v>
      </c>
      <c r="M3" s="21" t="s">
        <v>103</v>
      </c>
    </row>
    <row r="4" spans="1:13" s="2" customFormat="1" ht="36" x14ac:dyDescent="0.25">
      <c r="A4" s="21"/>
      <c r="B4" s="21"/>
      <c r="C4" s="21" t="s">
        <v>214</v>
      </c>
      <c r="D4" s="21">
        <v>2</v>
      </c>
      <c r="E4" s="21" t="s">
        <v>42</v>
      </c>
      <c r="F4" s="21" t="s">
        <v>290</v>
      </c>
      <c r="G4" s="21" t="s">
        <v>295</v>
      </c>
      <c r="H4" s="21" t="s">
        <v>10</v>
      </c>
      <c r="I4" s="21" t="s">
        <v>11</v>
      </c>
      <c r="J4" s="21" t="s">
        <v>14</v>
      </c>
      <c r="K4" s="21" t="s">
        <v>1229</v>
      </c>
      <c r="L4" s="21" t="s">
        <v>1170</v>
      </c>
      <c r="M4" s="21" t="s">
        <v>104</v>
      </c>
    </row>
    <row r="5" spans="1:13" s="2" customFormat="1" ht="99.75" customHeight="1" x14ac:dyDescent="0.25">
      <c r="A5" s="21"/>
      <c r="B5" s="21"/>
      <c r="C5" s="21"/>
      <c r="D5" s="21">
        <v>3</v>
      </c>
      <c r="E5" s="21" t="s">
        <v>580</v>
      </c>
      <c r="F5" s="21" t="s">
        <v>581</v>
      </c>
      <c r="G5" s="21" t="s">
        <v>582</v>
      </c>
      <c r="H5" s="21" t="s">
        <v>10</v>
      </c>
      <c r="I5" s="21" t="s">
        <v>11</v>
      </c>
      <c r="J5" s="21" t="s">
        <v>14</v>
      </c>
      <c r="K5" s="21" t="s">
        <v>1230</v>
      </c>
      <c r="L5" s="29" t="s">
        <v>985</v>
      </c>
      <c r="M5" s="29" t="s">
        <v>1171</v>
      </c>
    </row>
    <row r="6" spans="1:13" s="2" customFormat="1" ht="24" x14ac:dyDescent="0.25">
      <c r="A6" s="21"/>
      <c r="B6" s="21"/>
      <c r="C6" s="21" t="s">
        <v>214</v>
      </c>
      <c r="D6" s="21">
        <v>4</v>
      </c>
      <c r="E6" s="21" t="s">
        <v>56</v>
      </c>
      <c r="F6" s="21" t="s">
        <v>296</v>
      </c>
      <c r="G6" s="21" t="s">
        <v>296</v>
      </c>
      <c r="H6" s="21" t="s">
        <v>13</v>
      </c>
      <c r="I6" s="21" t="s">
        <v>11</v>
      </c>
      <c r="J6" s="21" t="s">
        <v>14</v>
      </c>
      <c r="K6" s="21" t="s">
        <v>1282</v>
      </c>
      <c r="L6" s="21" t="s">
        <v>61</v>
      </c>
      <c r="M6" s="21" t="s">
        <v>109</v>
      </c>
    </row>
    <row r="7" spans="1:13" s="2" customFormat="1" ht="72" x14ac:dyDescent="0.25">
      <c r="A7" s="21"/>
      <c r="B7" s="21"/>
      <c r="C7" s="21" t="s">
        <v>214</v>
      </c>
      <c r="D7" s="21">
        <v>5</v>
      </c>
      <c r="E7" s="21" t="s">
        <v>1172</v>
      </c>
      <c r="F7" s="21" t="s">
        <v>735</v>
      </c>
      <c r="G7" s="21" t="s">
        <v>735</v>
      </c>
      <c r="H7" s="21" t="s">
        <v>515</v>
      </c>
      <c r="I7" s="21" t="s">
        <v>11</v>
      </c>
      <c r="J7" s="21"/>
      <c r="K7" s="21"/>
      <c r="L7" s="29" t="s">
        <v>65</v>
      </c>
      <c r="M7" s="21" t="s">
        <v>516</v>
      </c>
    </row>
    <row r="8" spans="1:13" s="2" customFormat="1" ht="48" x14ac:dyDescent="0.25">
      <c r="A8" s="21"/>
      <c r="B8" s="21"/>
      <c r="C8" s="21"/>
      <c r="D8" s="21">
        <v>6</v>
      </c>
      <c r="E8" s="21" t="s">
        <v>1080</v>
      </c>
      <c r="F8" s="21" t="s">
        <v>291</v>
      </c>
      <c r="G8" s="21" t="s">
        <v>297</v>
      </c>
      <c r="H8" s="21" t="s">
        <v>10</v>
      </c>
      <c r="I8" s="21" t="s">
        <v>11</v>
      </c>
      <c r="J8" s="21" t="s">
        <v>14</v>
      </c>
      <c r="K8" s="21" t="s">
        <v>1231</v>
      </c>
      <c r="L8" s="21" t="s">
        <v>238</v>
      </c>
      <c r="M8" s="21" t="s">
        <v>511</v>
      </c>
    </row>
    <row r="9" spans="1:13" s="2" customFormat="1" ht="36" x14ac:dyDescent="0.25">
      <c r="A9" s="21"/>
      <c r="B9" s="21"/>
      <c r="C9" s="21"/>
      <c r="D9" s="21">
        <v>7</v>
      </c>
      <c r="E9" s="21" t="s">
        <v>79</v>
      </c>
      <c r="F9" s="21" t="s">
        <v>292</v>
      </c>
      <c r="G9" s="21" t="s">
        <v>292</v>
      </c>
      <c r="H9" s="21" t="s">
        <v>13</v>
      </c>
      <c r="I9" s="21" t="s">
        <v>11</v>
      </c>
      <c r="J9" s="21" t="s">
        <v>14</v>
      </c>
      <c r="K9" s="21" t="s">
        <v>1232</v>
      </c>
      <c r="L9" s="21" t="s">
        <v>108</v>
      </c>
      <c r="M9" s="21" t="s">
        <v>107</v>
      </c>
    </row>
    <row r="10" spans="1:13" s="13" customFormat="1" ht="36.6" x14ac:dyDescent="0.3">
      <c r="A10" s="21"/>
      <c r="B10" s="21"/>
      <c r="C10" s="21"/>
      <c r="D10" s="21">
        <v>8</v>
      </c>
      <c r="E10" s="20" t="s">
        <v>676</v>
      </c>
      <c r="F10" s="20" t="s">
        <v>1075</v>
      </c>
      <c r="G10" s="20" t="s">
        <v>1077</v>
      </c>
      <c r="H10" s="21" t="s">
        <v>10</v>
      </c>
      <c r="I10" s="20" t="s">
        <v>93</v>
      </c>
      <c r="J10" s="20" t="s">
        <v>14</v>
      </c>
      <c r="K10" s="21" t="s">
        <v>1231</v>
      </c>
      <c r="L10" s="21" t="s">
        <v>1440</v>
      </c>
      <c r="M10" s="20"/>
    </row>
    <row r="11" spans="1:13" s="13" customFormat="1" ht="42.75" customHeight="1" x14ac:dyDescent="0.3">
      <c r="A11" s="21"/>
      <c r="B11" s="21"/>
      <c r="C11" s="21"/>
      <c r="D11" s="21">
        <v>9</v>
      </c>
      <c r="E11" s="21" t="s">
        <v>244</v>
      </c>
      <c r="F11" s="21" t="s">
        <v>1076</v>
      </c>
      <c r="G11" s="20" t="s">
        <v>1078</v>
      </c>
      <c r="H11" s="21" t="s">
        <v>10</v>
      </c>
      <c r="I11" s="21" t="s">
        <v>84</v>
      </c>
      <c r="J11" s="21" t="s">
        <v>14</v>
      </c>
      <c r="K11" s="21" t="s">
        <v>1233</v>
      </c>
      <c r="L11" s="21" t="s">
        <v>244</v>
      </c>
      <c r="M11" s="21" t="s">
        <v>244</v>
      </c>
    </row>
    <row r="12" spans="1:13" s="7" customFormat="1" ht="28.05" customHeight="1" x14ac:dyDescent="0.3">
      <c r="A12" s="21"/>
      <c r="B12" s="21"/>
      <c r="C12" s="21"/>
      <c r="D12" s="21">
        <v>10</v>
      </c>
      <c r="E12" s="21" t="s">
        <v>1307</v>
      </c>
      <c r="F12" s="21" t="s">
        <v>1343</v>
      </c>
      <c r="G12" s="21" t="s">
        <v>1343</v>
      </c>
      <c r="H12" s="21" t="s">
        <v>10</v>
      </c>
      <c r="I12" s="21" t="s">
        <v>1309</v>
      </c>
      <c r="J12" s="21" t="s">
        <v>14</v>
      </c>
      <c r="K12" s="21" t="s">
        <v>1231</v>
      </c>
      <c r="L12" s="21" t="s">
        <v>1308</v>
      </c>
      <c r="M12" s="21" t="s">
        <v>1308</v>
      </c>
    </row>
    <row r="13" spans="1:13" ht="72.599999999999994" x14ac:dyDescent="0.3">
      <c r="A13" s="21"/>
      <c r="B13" s="21"/>
      <c r="C13" s="21"/>
      <c r="D13" s="21">
        <v>11</v>
      </c>
      <c r="E13" s="21" t="s">
        <v>1328</v>
      </c>
      <c r="F13" s="21" t="s">
        <v>1344</v>
      </c>
      <c r="G13" s="21" t="s">
        <v>1351</v>
      </c>
      <c r="H13" s="21" t="s">
        <v>1295</v>
      </c>
      <c r="I13" s="21" t="s">
        <v>84</v>
      </c>
      <c r="J13" s="21"/>
      <c r="K13" s="21"/>
      <c r="L13" s="21" t="s">
        <v>1329</v>
      </c>
      <c r="M13" s="21" t="s">
        <v>1330</v>
      </c>
    </row>
    <row r="14" spans="1:13" ht="60.6" x14ac:dyDescent="0.3">
      <c r="A14" s="21"/>
      <c r="B14" s="21"/>
      <c r="C14" s="21"/>
      <c r="D14" s="21">
        <v>12</v>
      </c>
      <c r="E14" s="21" t="s">
        <v>1331</v>
      </c>
      <c r="F14" s="21" t="s">
        <v>1345</v>
      </c>
      <c r="G14" s="21" t="s">
        <v>1350</v>
      </c>
      <c r="H14" s="21" t="s">
        <v>1295</v>
      </c>
      <c r="I14" s="21" t="s">
        <v>84</v>
      </c>
      <c r="J14" s="21"/>
      <c r="K14" s="21"/>
      <c r="L14" s="21" t="s">
        <v>1332</v>
      </c>
      <c r="M14" s="21" t="s">
        <v>1333</v>
      </c>
    </row>
    <row r="15" spans="1:13" ht="60.6" x14ac:dyDescent="0.3">
      <c r="A15" s="21"/>
      <c r="B15" s="21"/>
      <c r="C15" s="21"/>
      <c r="D15" s="21">
        <v>13</v>
      </c>
      <c r="E15" s="21" t="s">
        <v>1334</v>
      </c>
      <c r="F15" s="21" t="s">
        <v>1346</v>
      </c>
      <c r="G15" s="21" t="s">
        <v>1349</v>
      </c>
      <c r="H15" s="21" t="s">
        <v>10</v>
      </c>
      <c r="I15" s="21" t="s">
        <v>84</v>
      </c>
      <c r="J15" s="21" t="s">
        <v>1335</v>
      </c>
      <c r="K15" s="21" t="s">
        <v>1441</v>
      </c>
      <c r="L15" s="21" t="s">
        <v>1337</v>
      </c>
      <c r="M15" s="21" t="s">
        <v>1338</v>
      </c>
    </row>
    <row r="16" spans="1:13" ht="50.25" customHeight="1" x14ac:dyDescent="0.3">
      <c r="A16" s="21"/>
      <c r="B16" s="21"/>
      <c r="C16" s="21"/>
      <c r="D16" s="21">
        <v>14</v>
      </c>
      <c r="E16" s="21" t="s">
        <v>1339</v>
      </c>
      <c r="F16" s="21" t="s">
        <v>1347</v>
      </c>
      <c r="G16" s="21" t="s">
        <v>1348</v>
      </c>
      <c r="H16" s="21" t="s">
        <v>10</v>
      </c>
      <c r="I16" s="21" t="s">
        <v>84</v>
      </c>
      <c r="J16" s="21" t="s">
        <v>14</v>
      </c>
      <c r="K16" s="29" t="s">
        <v>1341</v>
      </c>
      <c r="L16" s="21" t="s">
        <v>1342</v>
      </c>
      <c r="M16" s="21" t="s">
        <v>1340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zoomScaleNormal="100" workbookViewId="0">
      <selection activeCell="A38" sqref="A38"/>
    </sheetView>
  </sheetViews>
  <sheetFormatPr defaultColWidth="8.77734375" defaultRowHeight="14.4" x14ac:dyDescent="0.3"/>
  <cols>
    <col min="1" max="1" width="5.21875" customWidth="1"/>
    <col min="2" max="2" width="15.77734375" customWidth="1"/>
    <col min="3" max="3" width="14.77734375" customWidth="1"/>
    <col min="5" max="5" width="27.21875" customWidth="1"/>
    <col min="6" max="7" width="25.21875" customWidth="1"/>
    <col min="8" max="8" width="10.44140625" customWidth="1"/>
    <col min="11" max="11" width="22.77734375" style="13" customWidth="1"/>
    <col min="12" max="12" width="32.44140625" customWidth="1"/>
    <col min="13" max="13" width="31" customWidth="1"/>
  </cols>
  <sheetData>
    <row r="1" spans="1:13" ht="36.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6" t="s">
        <v>12</v>
      </c>
      <c r="B2" s="6" t="s">
        <v>57</v>
      </c>
      <c r="C2" s="6"/>
      <c r="D2" s="6" t="s">
        <v>849</v>
      </c>
      <c r="E2" s="6" t="s">
        <v>207</v>
      </c>
      <c r="F2" s="6" t="s">
        <v>299</v>
      </c>
      <c r="G2" s="6" t="s">
        <v>299</v>
      </c>
      <c r="H2" s="6" t="s">
        <v>13</v>
      </c>
      <c r="I2" s="6"/>
      <c r="J2" s="6"/>
      <c r="K2" s="27"/>
      <c r="L2" s="6" t="s">
        <v>707</v>
      </c>
      <c r="M2" s="6" t="s">
        <v>102</v>
      </c>
    </row>
    <row r="3" spans="1:13" ht="36.6" x14ac:dyDescent="0.3">
      <c r="A3" s="6" t="s">
        <v>12</v>
      </c>
      <c r="B3" s="6" t="s">
        <v>1</v>
      </c>
      <c r="C3" s="6" t="s">
        <v>214</v>
      </c>
      <c r="D3" s="6" t="s">
        <v>849</v>
      </c>
      <c r="E3" s="6" t="s">
        <v>705</v>
      </c>
      <c r="F3" s="6" t="s">
        <v>298</v>
      </c>
      <c r="G3" s="6" t="s">
        <v>298</v>
      </c>
      <c r="H3" s="6" t="s">
        <v>13</v>
      </c>
      <c r="I3" s="6"/>
      <c r="J3" s="6"/>
      <c r="K3" s="27"/>
      <c r="L3" s="6" t="s">
        <v>708</v>
      </c>
      <c r="M3" s="6" t="s">
        <v>83</v>
      </c>
    </row>
    <row r="4" spans="1:13" ht="24.6" x14ac:dyDescent="0.3">
      <c r="A4" s="6" t="s">
        <v>12</v>
      </c>
      <c r="B4" s="6" t="s">
        <v>1</v>
      </c>
      <c r="C4" s="6" t="s">
        <v>214</v>
      </c>
      <c r="D4" s="6" t="s">
        <v>849</v>
      </c>
      <c r="E4" s="6" t="s">
        <v>97</v>
      </c>
      <c r="F4" s="6" t="s">
        <v>382</v>
      </c>
      <c r="G4" s="6" t="s">
        <v>382</v>
      </c>
      <c r="H4" s="6" t="s">
        <v>13</v>
      </c>
      <c r="I4" s="6"/>
      <c r="J4" s="6"/>
      <c r="K4" s="27"/>
      <c r="L4" s="6" t="s">
        <v>709</v>
      </c>
      <c r="M4" s="6" t="s">
        <v>559</v>
      </c>
    </row>
    <row r="5" spans="1:13" ht="36.6" x14ac:dyDescent="0.3">
      <c r="A5" s="6" t="s">
        <v>12</v>
      </c>
      <c r="B5" s="6" t="s">
        <v>1</v>
      </c>
      <c r="C5" s="6" t="s">
        <v>214</v>
      </c>
      <c r="D5" s="6" t="s">
        <v>849</v>
      </c>
      <c r="E5" s="6" t="s">
        <v>262</v>
      </c>
      <c r="F5" s="6" t="s">
        <v>265</v>
      </c>
      <c r="G5" s="6" t="s">
        <v>265</v>
      </c>
      <c r="H5" s="6" t="s">
        <v>13</v>
      </c>
      <c r="I5" s="6"/>
      <c r="J5" s="6"/>
      <c r="K5" s="27"/>
      <c r="L5" s="6" t="s">
        <v>710</v>
      </c>
      <c r="M5" s="6" t="s">
        <v>560</v>
      </c>
    </row>
    <row r="6" spans="1:13" x14ac:dyDescent="0.3">
      <c r="A6" s="21"/>
      <c r="B6" s="21"/>
      <c r="C6" s="21"/>
      <c r="D6" s="21">
        <v>1</v>
      </c>
      <c r="E6" s="21" t="s">
        <v>9</v>
      </c>
      <c r="F6" s="21" t="s">
        <v>300</v>
      </c>
      <c r="G6" s="21" t="s">
        <v>301</v>
      </c>
      <c r="H6" s="21" t="s">
        <v>10</v>
      </c>
      <c r="I6" s="21" t="s">
        <v>11</v>
      </c>
      <c r="J6" s="21"/>
      <c r="K6" s="27"/>
      <c r="L6" s="21" t="s">
        <v>199</v>
      </c>
      <c r="M6" s="21" t="s">
        <v>199</v>
      </c>
    </row>
    <row r="7" spans="1:13" ht="60.6" x14ac:dyDescent="0.3">
      <c r="A7" s="21"/>
      <c r="B7" s="21"/>
      <c r="C7" s="21" t="s">
        <v>214</v>
      </c>
      <c r="D7" s="21">
        <v>2</v>
      </c>
      <c r="E7" s="21" t="s">
        <v>631</v>
      </c>
      <c r="F7" s="21" t="s">
        <v>642</v>
      </c>
      <c r="G7" s="21" t="s">
        <v>643</v>
      </c>
      <c r="H7" s="21" t="s">
        <v>13</v>
      </c>
      <c r="I7" s="21" t="s">
        <v>11</v>
      </c>
      <c r="J7" s="21"/>
      <c r="K7" s="27"/>
      <c r="L7" s="21" t="s">
        <v>648</v>
      </c>
      <c r="M7" s="21" t="s">
        <v>644</v>
      </c>
    </row>
    <row r="8" spans="1:13" ht="36.6" x14ac:dyDescent="0.3">
      <c r="A8" s="21"/>
      <c r="B8" s="21"/>
      <c r="C8" s="21"/>
      <c r="D8" s="21">
        <v>3</v>
      </c>
      <c r="E8" s="20" t="s">
        <v>246</v>
      </c>
      <c r="F8" s="20" t="s">
        <v>302</v>
      </c>
      <c r="G8" s="20" t="s">
        <v>302</v>
      </c>
      <c r="H8" s="20" t="s">
        <v>247</v>
      </c>
      <c r="I8" s="20" t="s">
        <v>93</v>
      </c>
      <c r="J8" s="21" t="s">
        <v>14</v>
      </c>
      <c r="K8" s="21" t="s">
        <v>1231</v>
      </c>
      <c r="L8" s="21" t="s">
        <v>248</v>
      </c>
      <c r="M8" s="21" t="s">
        <v>249</v>
      </c>
    </row>
    <row r="9" spans="1:13" ht="24.6" x14ac:dyDescent="0.3">
      <c r="A9" s="21"/>
      <c r="B9" s="21"/>
      <c r="C9" s="21" t="s">
        <v>214</v>
      </c>
      <c r="D9" s="21">
        <v>4</v>
      </c>
      <c r="E9" s="21" t="s">
        <v>58</v>
      </c>
      <c r="F9" s="21" t="s">
        <v>303</v>
      </c>
      <c r="G9" s="21" t="s">
        <v>303</v>
      </c>
      <c r="H9" s="21" t="s">
        <v>10</v>
      </c>
      <c r="I9" s="21" t="s">
        <v>11</v>
      </c>
      <c r="J9" s="21" t="s">
        <v>14</v>
      </c>
      <c r="K9" s="21" t="s">
        <v>1234</v>
      </c>
      <c r="L9" s="21" t="s">
        <v>197</v>
      </c>
      <c r="M9" s="21" t="s">
        <v>198</v>
      </c>
    </row>
    <row r="10" spans="1:13" ht="36.6" x14ac:dyDescent="0.3">
      <c r="A10" s="21"/>
      <c r="B10" s="21"/>
      <c r="C10" s="23"/>
      <c r="D10" s="21">
        <v>5</v>
      </c>
      <c r="E10" s="21" t="s">
        <v>1081</v>
      </c>
      <c r="F10" s="21" t="s">
        <v>736</v>
      </c>
      <c r="G10" s="21" t="s">
        <v>736</v>
      </c>
      <c r="H10" s="21" t="s">
        <v>10</v>
      </c>
      <c r="I10" s="21" t="s">
        <v>93</v>
      </c>
      <c r="J10" s="21"/>
      <c r="K10" s="21"/>
      <c r="L10" s="21" t="s">
        <v>1173</v>
      </c>
      <c r="M10" s="21" t="s">
        <v>116</v>
      </c>
    </row>
    <row r="11" spans="1:13" ht="48.6" x14ac:dyDescent="0.3">
      <c r="A11" s="21"/>
      <c r="B11" s="21"/>
      <c r="C11" s="21"/>
      <c r="D11" s="21">
        <v>6</v>
      </c>
      <c r="E11" s="20" t="s">
        <v>1082</v>
      </c>
      <c r="F11" s="20" t="s">
        <v>304</v>
      </c>
      <c r="G11" s="20" t="s">
        <v>304</v>
      </c>
      <c r="H11" s="21" t="s">
        <v>10</v>
      </c>
      <c r="I11" s="20" t="s">
        <v>93</v>
      </c>
      <c r="J11" s="21" t="s">
        <v>14</v>
      </c>
      <c r="K11" s="21" t="s">
        <v>1235</v>
      </c>
      <c r="L11" s="21" t="s">
        <v>251</v>
      </c>
      <c r="M11" s="21" t="s">
        <v>252</v>
      </c>
    </row>
    <row r="12" spans="1:13" ht="24.6" x14ac:dyDescent="0.3">
      <c r="A12" s="21"/>
      <c r="B12" s="21"/>
      <c r="C12" s="21"/>
      <c r="D12" s="21">
        <v>7</v>
      </c>
      <c r="E12" s="20" t="s">
        <v>1083</v>
      </c>
      <c r="F12" s="20" t="s">
        <v>305</v>
      </c>
      <c r="G12" s="20" t="s">
        <v>305</v>
      </c>
      <c r="H12" s="21" t="s">
        <v>10</v>
      </c>
      <c r="I12" s="20" t="s">
        <v>93</v>
      </c>
      <c r="J12" s="20"/>
      <c r="K12" s="21"/>
      <c r="L12" s="21" t="s">
        <v>253</v>
      </c>
      <c r="M12" s="21" t="s">
        <v>254</v>
      </c>
    </row>
    <row r="13" spans="1:13" ht="48.6" x14ac:dyDescent="0.3">
      <c r="A13" s="30"/>
      <c r="B13" s="30"/>
      <c r="C13" s="30"/>
      <c r="D13" s="21">
        <v>8</v>
      </c>
      <c r="E13" s="21" t="s">
        <v>245</v>
      </c>
      <c r="F13" s="21" t="s">
        <v>306</v>
      </c>
      <c r="G13" s="21" t="s">
        <v>306</v>
      </c>
      <c r="H13" s="21" t="s">
        <v>10</v>
      </c>
      <c r="I13" s="21" t="s">
        <v>17</v>
      </c>
      <c r="J13" s="21" t="s">
        <v>14</v>
      </c>
      <c r="K13" s="21" t="s">
        <v>1236</v>
      </c>
      <c r="L13" s="21" t="s">
        <v>1306</v>
      </c>
      <c r="M13" s="21" t="s">
        <v>1306</v>
      </c>
    </row>
    <row r="14" spans="1:13" ht="24.6" x14ac:dyDescent="0.3">
      <c r="A14" s="21"/>
      <c r="B14" s="21"/>
      <c r="C14" s="21"/>
      <c r="D14" s="21">
        <v>9</v>
      </c>
      <c r="E14" s="21" t="s">
        <v>1084</v>
      </c>
      <c r="F14" s="21" t="s">
        <v>798</v>
      </c>
      <c r="G14" s="21" t="s">
        <v>780</v>
      </c>
      <c r="H14" s="21" t="s">
        <v>13</v>
      </c>
      <c r="I14" s="21" t="s">
        <v>84</v>
      </c>
      <c r="J14" s="21"/>
      <c r="K14" s="21"/>
      <c r="L14" s="21" t="s">
        <v>228</v>
      </c>
      <c r="M14" s="21" t="s">
        <v>228</v>
      </c>
    </row>
    <row r="15" spans="1:13" ht="84.6" x14ac:dyDescent="0.3">
      <c r="A15" s="21"/>
      <c r="B15" s="21"/>
      <c r="C15" s="21"/>
      <c r="D15" s="21">
        <v>10</v>
      </c>
      <c r="E15" s="21" t="s">
        <v>1085</v>
      </c>
      <c r="F15" s="20" t="s">
        <v>746</v>
      </c>
      <c r="G15" s="20" t="s">
        <v>752</v>
      </c>
      <c r="H15" s="21" t="s">
        <v>13</v>
      </c>
      <c r="I15" s="21" t="s">
        <v>84</v>
      </c>
      <c r="J15" s="21"/>
      <c r="K15" s="21"/>
      <c r="L15" s="21" t="s">
        <v>229</v>
      </c>
      <c r="M15" s="21" t="s">
        <v>229</v>
      </c>
    </row>
    <row r="16" spans="1:13" s="13" customFormat="1" x14ac:dyDescent="0.3">
      <c r="A16" s="21"/>
      <c r="B16" s="21"/>
      <c r="C16" s="21"/>
      <c r="D16" s="21">
        <v>11</v>
      </c>
      <c r="E16" s="21" t="s">
        <v>612</v>
      </c>
      <c r="F16" s="20" t="s">
        <v>957</v>
      </c>
      <c r="G16" s="20" t="s">
        <v>959</v>
      </c>
      <c r="H16" s="29" t="s">
        <v>1287</v>
      </c>
      <c r="I16" s="21" t="s">
        <v>84</v>
      </c>
      <c r="J16" s="21" t="s">
        <v>1301</v>
      </c>
      <c r="K16" s="21"/>
      <c r="L16" s="21" t="s">
        <v>815</v>
      </c>
      <c r="M16" s="21" t="s">
        <v>612</v>
      </c>
    </row>
    <row r="17" spans="1:13" x14ac:dyDescent="0.3">
      <c r="A17" s="21"/>
      <c r="B17" s="21"/>
      <c r="C17" s="21"/>
      <c r="D17" s="21">
        <v>12</v>
      </c>
      <c r="E17" s="21" t="s">
        <v>117</v>
      </c>
      <c r="F17" s="20" t="s">
        <v>958</v>
      </c>
      <c r="G17" s="21" t="s">
        <v>960</v>
      </c>
      <c r="H17" s="29" t="s">
        <v>1287</v>
      </c>
      <c r="I17" s="21" t="s">
        <v>84</v>
      </c>
      <c r="J17" s="2" t="s">
        <v>1301</v>
      </c>
      <c r="K17" s="21"/>
      <c r="L17" s="21" t="s">
        <v>818</v>
      </c>
      <c r="M17" s="21" t="s">
        <v>117</v>
      </c>
    </row>
    <row r="18" spans="1:13" ht="24.6" x14ac:dyDescent="0.3">
      <c r="A18" s="47"/>
      <c r="B18" s="47"/>
      <c r="C18" s="47"/>
      <c r="D18" s="21">
        <v>13</v>
      </c>
      <c r="E18" s="47" t="s">
        <v>39</v>
      </c>
      <c r="F18" s="48" t="s">
        <v>307</v>
      </c>
      <c r="G18" s="48" t="s">
        <v>308</v>
      </c>
      <c r="H18" s="47" t="s">
        <v>10</v>
      </c>
      <c r="I18" s="47" t="s">
        <v>93</v>
      </c>
      <c r="J18" s="47" t="s">
        <v>14</v>
      </c>
      <c r="K18" s="21" t="s">
        <v>1237</v>
      </c>
      <c r="L18" s="47" t="s">
        <v>196</v>
      </c>
      <c r="M18" s="47" t="s">
        <v>196</v>
      </c>
    </row>
    <row r="19" spans="1:13" ht="48.6" x14ac:dyDescent="0.3">
      <c r="A19" s="21"/>
      <c r="B19" s="21"/>
      <c r="C19" s="21"/>
      <c r="D19" s="21">
        <v>14</v>
      </c>
      <c r="E19" s="21" t="s">
        <v>589</v>
      </c>
      <c r="F19" s="20" t="s">
        <v>587</v>
      </c>
      <c r="G19" s="20" t="s">
        <v>587</v>
      </c>
      <c r="H19" s="21" t="s">
        <v>10</v>
      </c>
      <c r="I19" s="21" t="s">
        <v>93</v>
      </c>
      <c r="J19" s="21"/>
      <c r="K19" s="21"/>
      <c r="L19" s="21" t="s">
        <v>850</v>
      </c>
      <c r="M19" s="21" t="s">
        <v>850</v>
      </c>
    </row>
    <row r="20" spans="1:13" ht="24.6" x14ac:dyDescent="0.3">
      <c r="A20" s="49"/>
      <c r="B20" s="49"/>
      <c r="C20" s="49"/>
      <c r="D20" s="21">
        <v>15</v>
      </c>
      <c r="E20" s="50" t="s">
        <v>1086</v>
      </c>
      <c r="F20" s="50" t="s">
        <v>309</v>
      </c>
      <c r="G20" s="50" t="s">
        <v>310</v>
      </c>
      <c r="H20" s="6" t="s">
        <v>10</v>
      </c>
      <c r="I20" s="50" t="s">
        <v>84</v>
      </c>
      <c r="J20" s="49" t="s">
        <v>14</v>
      </c>
      <c r="K20" s="21" t="s">
        <v>1237</v>
      </c>
      <c r="L20" s="49" t="s">
        <v>512</v>
      </c>
      <c r="M20" s="49" t="s">
        <v>512</v>
      </c>
    </row>
    <row r="21" spans="1:13" ht="60.6" x14ac:dyDescent="0.3">
      <c r="A21" s="21"/>
      <c r="B21" s="21"/>
      <c r="C21" s="21"/>
      <c r="D21" s="21">
        <v>16</v>
      </c>
      <c r="E21" s="20" t="s">
        <v>1087</v>
      </c>
      <c r="F21" s="20" t="s">
        <v>797</v>
      </c>
      <c r="G21" s="20" t="s">
        <v>781</v>
      </c>
      <c r="H21" s="20" t="s">
        <v>13</v>
      </c>
      <c r="I21" s="20" t="s">
        <v>84</v>
      </c>
      <c r="J21" s="20"/>
      <c r="K21" s="21"/>
      <c r="L21" s="21" t="s">
        <v>255</v>
      </c>
      <c r="M21" s="21" t="s">
        <v>256</v>
      </c>
    </row>
    <row r="22" spans="1:13" ht="48.6" x14ac:dyDescent="0.3">
      <c r="A22" s="21"/>
      <c r="B22" s="21"/>
      <c r="C22" s="21"/>
      <c r="D22" s="21">
        <v>17</v>
      </c>
      <c r="E22" s="20" t="s">
        <v>1088</v>
      </c>
      <c r="F22" s="20" t="s">
        <v>747</v>
      </c>
      <c r="G22" s="20" t="s">
        <v>753</v>
      </c>
      <c r="H22" s="20" t="s">
        <v>13</v>
      </c>
      <c r="I22" s="20" t="s">
        <v>84</v>
      </c>
      <c r="J22" s="20"/>
      <c r="K22" s="21"/>
      <c r="L22" s="21" t="s">
        <v>257</v>
      </c>
      <c r="M22" s="21" t="s">
        <v>258</v>
      </c>
    </row>
    <row r="23" spans="1:13" ht="24.6" x14ac:dyDescent="0.3">
      <c r="A23" s="21"/>
      <c r="B23" s="21"/>
      <c r="C23" s="21"/>
      <c r="D23" s="21">
        <v>18</v>
      </c>
      <c r="E23" s="20" t="s">
        <v>685</v>
      </c>
      <c r="F23" s="20" t="s">
        <v>953</v>
      </c>
      <c r="G23" s="20" t="s">
        <v>954</v>
      </c>
      <c r="H23" s="29" t="s">
        <v>1287</v>
      </c>
      <c r="I23" s="21" t="s">
        <v>84</v>
      </c>
      <c r="J23" s="21" t="s">
        <v>1301</v>
      </c>
      <c r="K23" s="21"/>
      <c r="L23" s="21" t="s">
        <v>816</v>
      </c>
      <c r="M23" s="21" t="s">
        <v>259</v>
      </c>
    </row>
    <row r="24" spans="1:13" s="13" customFormat="1" ht="24.6" x14ac:dyDescent="0.3">
      <c r="A24" s="21"/>
      <c r="B24" s="21"/>
      <c r="C24" s="21"/>
      <c r="D24" s="21">
        <v>19</v>
      </c>
      <c r="E24" s="20" t="s">
        <v>686</v>
      </c>
      <c r="F24" s="20" t="s">
        <v>956</v>
      </c>
      <c r="G24" s="21" t="s">
        <v>955</v>
      </c>
      <c r="H24" s="29" t="s">
        <v>1287</v>
      </c>
      <c r="I24" s="21" t="s">
        <v>84</v>
      </c>
      <c r="J24" s="2" t="s">
        <v>1301</v>
      </c>
      <c r="K24" s="21"/>
      <c r="L24" s="21" t="s">
        <v>817</v>
      </c>
      <c r="M24" s="21"/>
    </row>
    <row r="25" spans="1:13" ht="24.6" x14ac:dyDescent="0.3">
      <c r="A25" s="21"/>
      <c r="B25" s="21"/>
      <c r="C25" s="21"/>
      <c r="D25" s="21">
        <v>20</v>
      </c>
      <c r="E25" s="20" t="s">
        <v>676</v>
      </c>
      <c r="F25" s="20" t="s">
        <v>864</v>
      </c>
      <c r="G25" s="20" t="s">
        <v>865</v>
      </c>
      <c r="H25" s="21" t="s">
        <v>10</v>
      </c>
      <c r="I25" s="20" t="s">
        <v>93</v>
      </c>
      <c r="J25" s="20" t="s">
        <v>14</v>
      </c>
      <c r="K25" s="21" t="s">
        <v>1231</v>
      </c>
      <c r="L25" s="21" t="s">
        <v>682</v>
      </c>
      <c r="M25" s="20"/>
    </row>
    <row r="26" spans="1:13" x14ac:dyDescent="0.3">
      <c r="A26" s="21"/>
      <c r="B26" s="21"/>
      <c r="C26" s="21"/>
      <c r="D26" s="21">
        <v>21</v>
      </c>
      <c r="E26" s="21" t="s">
        <v>244</v>
      </c>
      <c r="F26" s="21" t="s">
        <v>311</v>
      </c>
      <c r="G26" s="21" t="s">
        <v>312</v>
      </c>
      <c r="H26" s="21" t="s">
        <v>10</v>
      </c>
      <c r="I26" s="21" t="s">
        <v>84</v>
      </c>
      <c r="J26" s="21" t="s">
        <v>14</v>
      </c>
      <c r="K26" s="5" t="s">
        <v>1233</v>
      </c>
      <c r="L26" s="21" t="s">
        <v>244</v>
      </c>
      <c r="M26" s="21" t="s">
        <v>244</v>
      </c>
    </row>
    <row r="27" spans="1:13" ht="24.6" x14ac:dyDescent="0.3">
      <c r="A27" s="21"/>
      <c r="B27" s="21"/>
      <c r="C27" s="21"/>
      <c r="D27" s="21">
        <v>22</v>
      </c>
      <c r="E27" s="21" t="s">
        <v>1307</v>
      </c>
      <c r="F27" s="21" t="s">
        <v>1310</v>
      </c>
      <c r="G27" s="20" t="s">
        <v>1327</v>
      </c>
      <c r="H27" s="21" t="s">
        <v>10</v>
      </c>
      <c r="I27" s="21" t="s">
        <v>1309</v>
      </c>
      <c r="J27" s="21" t="s">
        <v>14</v>
      </c>
      <c r="K27" s="21" t="s">
        <v>1231</v>
      </c>
      <c r="L27" s="21" t="s">
        <v>1308</v>
      </c>
      <c r="M27" s="21" t="s">
        <v>1308</v>
      </c>
    </row>
    <row r="28" spans="1:13" ht="72.599999999999994" x14ac:dyDescent="0.3">
      <c r="A28" s="21"/>
      <c r="B28" s="21"/>
      <c r="C28" s="21"/>
      <c r="D28" s="21">
        <v>23</v>
      </c>
      <c r="E28" s="21" t="s">
        <v>1328</v>
      </c>
      <c r="F28" s="46" t="s">
        <v>1352</v>
      </c>
      <c r="G28" s="21" t="s">
        <v>1353</v>
      </c>
      <c r="H28" s="21" t="s">
        <v>1295</v>
      </c>
      <c r="I28" s="21" t="s">
        <v>84</v>
      </c>
      <c r="J28" s="21"/>
      <c r="K28" s="21"/>
      <c r="L28" s="21" t="s">
        <v>1329</v>
      </c>
      <c r="M28" s="21" t="s">
        <v>1330</v>
      </c>
    </row>
    <row r="29" spans="1:13" ht="60.6" x14ac:dyDescent="0.3">
      <c r="A29" s="21"/>
      <c r="B29" s="21"/>
      <c r="C29" s="21"/>
      <c r="D29" s="21">
        <v>24</v>
      </c>
      <c r="E29" s="21" t="s">
        <v>1331</v>
      </c>
      <c r="F29" s="46" t="s">
        <v>1354</v>
      </c>
      <c r="G29" s="21" t="s">
        <v>1355</v>
      </c>
      <c r="H29" s="21" t="s">
        <v>1295</v>
      </c>
      <c r="I29" s="21" t="s">
        <v>84</v>
      </c>
      <c r="J29" s="21"/>
      <c r="K29" s="21"/>
      <c r="L29" s="21" t="s">
        <v>1332</v>
      </c>
      <c r="M29" s="21" t="s">
        <v>1333</v>
      </c>
    </row>
    <row r="30" spans="1:13" ht="60.6" x14ac:dyDescent="0.3">
      <c r="A30" s="21"/>
      <c r="B30" s="21"/>
      <c r="C30" s="21"/>
      <c r="D30" s="21">
        <v>25</v>
      </c>
      <c r="E30" s="21" t="s">
        <v>1334</v>
      </c>
      <c r="F30" s="46" t="s">
        <v>1356</v>
      </c>
      <c r="G30" s="21" t="s">
        <v>1357</v>
      </c>
      <c r="H30" s="21" t="s">
        <v>10</v>
      </c>
      <c r="I30" s="21" t="s">
        <v>84</v>
      </c>
      <c r="J30" s="21" t="s">
        <v>1335</v>
      </c>
      <c r="K30" s="21" t="s">
        <v>1336</v>
      </c>
      <c r="L30" s="21" t="s">
        <v>1337</v>
      </c>
      <c r="M30" s="21" t="s">
        <v>1338</v>
      </c>
    </row>
    <row r="31" spans="1:13" ht="48" x14ac:dyDescent="0.3">
      <c r="A31" s="21"/>
      <c r="B31" s="21"/>
      <c r="C31" s="21"/>
      <c r="D31" s="21">
        <v>26</v>
      </c>
      <c r="E31" s="21" t="s">
        <v>1339</v>
      </c>
      <c r="F31" s="46" t="s">
        <v>1358</v>
      </c>
      <c r="G31" s="21" t="s">
        <v>1359</v>
      </c>
      <c r="H31" s="21" t="s">
        <v>10</v>
      </c>
      <c r="I31" s="21" t="s">
        <v>84</v>
      </c>
      <c r="J31" s="21" t="s">
        <v>14</v>
      </c>
      <c r="K31" s="29" t="s">
        <v>1341</v>
      </c>
      <c r="L31" s="21" t="s">
        <v>1342</v>
      </c>
      <c r="M31" s="21" t="s">
        <v>1340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1"/>
  <sheetViews>
    <sheetView zoomScale="80" zoomScaleNormal="80" workbookViewId="0">
      <selection activeCell="G8" sqref="G8"/>
    </sheetView>
  </sheetViews>
  <sheetFormatPr defaultColWidth="8.77734375" defaultRowHeight="14.4" x14ac:dyDescent="0.3"/>
  <cols>
    <col min="3" max="3" width="15.21875" customWidth="1"/>
    <col min="5" max="6" width="20.77734375" customWidth="1"/>
    <col min="7" max="7" width="19.21875" customWidth="1"/>
    <col min="8" max="8" width="11.44140625" customWidth="1"/>
    <col min="10" max="10" width="11.77734375" customWidth="1"/>
    <col min="11" max="11" width="24.77734375" style="7" bestFit="1" customWidth="1"/>
    <col min="12" max="12" width="43" customWidth="1"/>
    <col min="13" max="13" width="46.77734375" customWidth="1"/>
    <col min="14" max="14" width="23" customWidth="1"/>
  </cols>
  <sheetData>
    <row r="1" spans="1:13" ht="24.6" x14ac:dyDescent="0.3">
      <c r="A1" s="25" t="s">
        <v>41</v>
      </c>
      <c r="B1" s="26" t="s">
        <v>99</v>
      </c>
      <c r="C1" s="26" t="s">
        <v>105</v>
      </c>
      <c r="D1" s="26" t="s">
        <v>5</v>
      </c>
      <c r="E1" s="26" t="s">
        <v>984</v>
      </c>
      <c r="F1" s="26" t="s">
        <v>100</v>
      </c>
      <c r="G1" s="26" t="s">
        <v>288</v>
      </c>
      <c r="H1" s="26" t="s">
        <v>6</v>
      </c>
      <c r="I1" s="26" t="s">
        <v>106</v>
      </c>
      <c r="J1" s="26" t="s">
        <v>7</v>
      </c>
      <c r="K1" s="26" t="s">
        <v>987</v>
      </c>
      <c r="L1" s="26" t="s">
        <v>8</v>
      </c>
      <c r="M1" s="26" t="s">
        <v>98</v>
      </c>
    </row>
    <row r="2" spans="1:13" ht="24.6" x14ac:dyDescent="0.3">
      <c r="A2" s="6" t="s">
        <v>12</v>
      </c>
      <c r="B2" s="6" t="s">
        <v>57</v>
      </c>
      <c r="C2" s="6"/>
      <c r="D2" s="6" t="s">
        <v>849</v>
      </c>
      <c r="E2" s="6" t="s">
        <v>97</v>
      </c>
      <c r="F2" s="6" t="s">
        <v>382</v>
      </c>
      <c r="G2" s="6" t="s">
        <v>382</v>
      </c>
      <c r="H2" s="6" t="s">
        <v>13</v>
      </c>
      <c r="I2" s="6" t="s">
        <v>11</v>
      </c>
      <c r="J2" s="6"/>
      <c r="K2" s="6"/>
      <c r="L2" s="6" t="s">
        <v>620</v>
      </c>
      <c r="M2" s="6" t="s">
        <v>102</v>
      </c>
    </row>
    <row r="3" spans="1:13" ht="24.6" x14ac:dyDescent="0.3">
      <c r="A3" s="6" t="s">
        <v>12</v>
      </c>
      <c r="B3" s="6" t="s">
        <v>1</v>
      </c>
      <c r="C3" s="6" t="s">
        <v>214</v>
      </c>
      <c r="D3" s="6" t="s">
        <v>849</v>
      </c>
      <c r="E3" s="6" t="s">
        <v>705</v>
      </c>
      <c r="F3" s="6" t="s">
        <v>298</v>
      </c>
      <c r="G3" s="6" t="s">
        <v>298</v>
      </c>
      <c r="H3" s="6" t="s">
        <v>13</v>
      </c>
      <c r="I3" s="6" t="s">
        <v>11</v>
      </c>
      <c r="J3" s="6"/>
      <c r="K3" s="6"/>
      <c r="L3" s="6" t="s">
        <v>622</v>
      </c>
      <c r="M3" s="6" t="s">
        <v>83</v>
      </c>
    </row>
    <row r="4" spans="1:13" x14ac:dyDescent="0.3">
      <c r="A4" s="6"/>
      <c r="B4" s="6"/>
      <c r="C4" s="6"/>
      <c r="D4" s="21">
        <v>1</v>
      </c>
      <c r="E4" s="21" t="s">
        <v>9</v>
      </c>
      <c r="F4" s="21" t="s">
        <v>356</v>
      </c>
      <c r="G4" s="21" t="s">
        <v>357</v>
      </c>
      <c r="H4" s="21" t="s">
        <v>10</v>
      </c>
      <c r="I4" s="21" t="s">
        <v>11</v>
      </c>
      <c r="J4" s="21"/>
      <c r="K4" s="21"/>
      <c r="L4" s="21" t="s">
        <v>200</v>
      </c>
      <c r="M4" s="21" t="s">
        <v>200</v>
      </c>
    </row>
    <row r="5" spans="1:13" ht="48.6" x14ac:dyDescent="0.3">
      <c r="A5" s="6"/>
      <c r="B5" s="6"/>
      <c r="C5" s="6" t="s">
        <v>214</v>
      </c>
      <c r="D5" s="21">
        <v>2</v>
      </c>
      <c r="E5" s="21" t="s">
        <v>632</v>
      </c>
      <c r="F5" s="21" t="s">
        <v>645</v>
      </c>
      <c r="G5" s="21" t="s">
        <v>646</v>
      </c>
      <c r="H5" s="21" t="s">
        <v>13</v>
      </c>
      <c r="I5" s="21" t="s">
        <v>11</v>
      </c>
      <c r="J5" s="21"/>
      <c r="K5" s="21"/>
      <c r="L5" s="21" t="s">
        <v>647</v>
      </c>
      <c r="M5" s="21" t="s">
        <v>644</v>
      </c>
    </row>
    <row r="6" spans="1:13" ht="24.6" x14ac:dyDescent="0.3">
      <c r="A6" s="6"/>
      <c r="B6" s="6"/>
      <c r="C6" s="6"/>
      <c r="D6" s="21">
        <v>3</v>
      </c>
      <c r="E6" s="20" t="s">
        <v>246</v>
      </c>
      <c r="F6" s="20" t="s">
        <v>358</v>
      </c>
      <c r="G6" s="20" t="s">
        <v>358</v>
      </c>
      <c r="H6" s="20" t="s">
        <v>247</v>
      </c>
      <c r="I6" s="20" t="s">
        <v>93</v>
      </c>
      <c r="J6" s="21" t="s">
        <v>14</v>
      </c>
      <c r="K6" s="21" t="s">
        <v>1231</v>
      </c>
      <c r="L6" s="21" t="s">
        <v>1019</v>
      </c>
      <c r="M6" s="21" t="s">
        <v>1020</v>
      </c>
    </row>
    <row r="7" spans="1:13" ht="36.6" x14ac:dyDescent="0.3">
      <c r="A7" s="6"/>
      <c r="B7" s="6"/>
      <c r="C7" s="6"/>
      <c r="D7" s="21">
        <v>4</v>
      </c>
      <c r="E7" s="20" t="s">
        <v>1157</v>
      </c>
      <c r="F7" s="20" t="s">
        <v>919</v>
      </c>
      <c r="G7" s="20" t="s">
        <v>919</v>
      </c>
      <c r="H7" s="20" t="s">
        <v>10</v>
      </c>
      <c r="I7" s="20" t="s">
        <v>11</v>
      </c>
      <c r="J7" s="20" t="s">
        <v>88</v>
      </c>
      <c r="K7" s="21" t="s">
        <v>1238</v>
      </c>
      <c r="L7" s="31" t="s">
        <v>618</v>
      </c>
      <c r="M7" s="31" t="s">
        <v>140</v>
      </c>
    </row>
    <row r="8" spans="1:13" ht="36.6" x14ac:dyDescent="0.3">
      <c r="A8" s="6"/>
      <c r="B8" s="6"/>
      <c r="C8" s="6"/>
      <c r="D8" s="21">
        <v>5</v>
      </c>
      <c r="E8" s="21" t="s">
        <v>1150</v>
      </c>
      <c r="F8" s="21" t="s">
        <v>1500</v>
      </c>
      <c r="G8" s="21" t="s">
        <v>1152</v>
      </c>
      <c r="H8" s="21" t="s">
        <v>10</v>
      </c>
      <c r="I8" s="21" t="s">
        <v>17</v>
      </c>
      <c r="J8" s="21"/>
      <c r="K8" s="21"/>
      <c r="L8" s="21" t="s">
        <v>617</v>
      </c>
      <c r="M8" s="21" t="s">
        <v>616</v>
      </c>
    </row>
    <row r="9" spans="1:13" ht="24.6" x14ac:dyDescent="0.3">
      <c r="A9" s="6"/>
      <c r="B9" s="6"/>
      <c r="C9" s="6"/>
      <c r="D9" s="21">
        <v>6</v>
      </c>
      <c r="E9" s="20" t="s">
        <v>1156</v>
      </c>
      <c r="F9" s="20" t="s">
        <v>1147</v>
      </c>
      <c r="G9" s="20" t="s">
        <v>1151</v>
      </c>
      <c r="H9" s="20" t="s">
        <v>10</v>
      </c>
      <c r="I9" s="20" t="s">
        <v>17</v>
      </c>
      <c r="J9" s="20" t="s">
        <v>14</v>
      </c>
      <c r="K9" s="32" t="s">
        <v>1239</v>
      </c>
      <c r="L9" s="31" t="s">
        <v>1283</v>
      </c>
      <c r="M9" s="31"/>
    </row>
    <row r="10" spans="1:13" ht="24.6" x14ac:dyDescent="0.3">
      <c r="A10" s="6"/>
      <c r="B10" s="6"/>
      <c r="C10" s="6"/>
      <c r="D10" s="21">
        <v>7</v>
      </c>
      <c r="E10" s="21" t="s">
        <v>408</v>
      </c>
      <c r="F10" s="21" t="s">
        <v>737</v>
      </c>
      <c r="G10" s="21" t="s">
        <v>737</v>
      </c>
      <c r="H10" s="21" t="s">
        <v>10</v>
      </c>
      <c r="I10" s="21" t="s">
        <v>93</v>
      </c>
      <c r="J10" s="21"/>
      <c r="K10" s="21"/>
      <c r="L10" s="21" t="s">
        <v>1173</v>
      </c>
      <c r="M10" s="21" t="s">
        <v>1029</v>
      </c>
    </row>
    <row r="11" spans="1:13" ht="36.6" x14ac:dyDescent="0.3">
      <c r="A11" s="6"/>
      <c r="B11" s="6"/>
      <c r="C11" s="6"/>
      <c r="D11" s="21">
        <v>8</v>
      </c>
      <c r="E11" s="20" t="s">
        <v>250</v>
      </c>
      <c r="F11" s="20" t="s">
        <v>338</v>
      </c>
      <c r="G11" s="20" t="s">
        <v>338</v>
      </c>
      <c r="H11" s="21" t="s">
        <v>10</v>
      </c>
      <c r="I11" s="20" t="s">
        <v>93</v>
      </c>
      <c r="J11" s="21" t="s">
        <v>14</v>
      </c>
      <c r="K11" s="21" t="s">
        <v>1235</v>
      </c>
      <c r="L11" s="21" t="s">
        <v>251</v>
      </c>
      <c r="M11" s="21" t="s">
        <v>252</v>
      </c>
    </row>
    <row r="12" spans="1:13" x14ac:dyDescent="0.3">
      <c r="A12" s="6"/>
      <c r="B12" s="6"/>
      <c r="C12" s="6"/>
      <c r="D12" s="21">
        <v>9</v>
      </c>
      <c r="E12" s="20" t="s">
        <v>1090</v>
      </c>
      <c r="F12" s="20" t="s">
        <v>339</v>
      </c>
      <c r="G12" s="20" t="s">
        <v>339</v>
      </c>
      <c r="H12" s="21" t="s">
        <v>10</v>
      </c>
      <c r="I12" s="20" t="s">
        <v>93</v>
      </c>
      <c r="J12" s="20"/>
      <c r="K12" s="21"/>
      <c r="L12" s="21" t="s">
        <v>253</v>
      </c>
      <c r="M12" s="21" t="s">
        <v>254</v>
      </c>
    </row>
    <row r="13" spans="1:13" ht="36.6" x14ac:dyDescent="0.3">
      <c r="A13" s="6"/>
      <c r="B13" s="6"/>
      <c r="C13" s="6"/>
      <c r="D13" s="21">
        <v>10</v>
      </c>
      <c r="E13" s="21" t="s">
        <v>245</v>
      </c>
      <c r="F13" s="21" t="s">
        <v>340</v>
      </c>
      <c r="G13" s="21" t="s">
        <v>340</v>
      </c>
      <c r="H13" s="21" t="s">
        <v>10</v>
      </c>
      <c r="I13" s="21" t="s">
        <v>17</v>
      </c>
      <c r="J13" s="21" t="s">
        <v>14</v>
      </c>
      <c r="K13" s="21" t="s">
        <v>1236</v>
      </c>
      <c r="L13" s="21" t="s">
        <v>814</v>
      </c>
      <c r="M13" s="21" t="s">
        <v>602</v>
      </c>
    </row>
    <row r="14" spans="1:13" x14ac:dyDescent="0.3">
      <c r="A14" s="6"/>
      <c r="B14" s="6"/>
      <c r="C14" s="6"/>
      <c r="D14" s="21">
        <v>11</v>
      </c>
      <c r="E14" s="21" t="s">
        <v>1089</v>
      </c>
      <c r="F14" s="21" t="s">
        <v>799</v>
      </c>
      <c r="G14" s="21" t="s">
        <v>782</v>
      </c>
      <c r="H14" s="21" t="s">
        <v>13</v>
      </c>
      <c r="I14" s="21" t="s">
        <v>84</v>
      </c>
      <c r="J14" s="21"/>
      <c r="K14" s="21"/>
      <c r="L14" s="21" t="s">
        <v>226</v>
      </c>
      <c r="M14" s="21" t="s">
        <v>226</v>
      </c>
    </row>
    <row r="15" spans="1:13" ht="60.6" x14ac:dyDescent="0.3">
      <c r="A15" s="6"/>
      <c r="B15" s="6"/>
      <c r="C15" s="6"/>
      <c r="D15" s="21">
        <v>12</v>
      </c>
      <c r="E15" s="21" t="s">
        <v>1091</v>
      </c>
      <c r="F15" s="20" t="s">
        <v>748</v>
      </c>
      <c r="G15" s="20" t="s">
        <v>755</v>
      </c>
      <c r="H15" s="21" t="s">
        <v>13</v>
      </c>
      <c r="I15" s="21" t="s">
        <v>84</v>
      </c>
      <c r="J15" s="21"/>
      <c r="K15" s="21"/>
      <c r="L15" s="21" t="s">
        <v>227</v>
      </c>
      <c r="M15" s="21" t="s">
        <v>227</v>
      </c>
    </row>
    <row r="16" spans="1:13" x14ac:dyDescent="0.3">
      <c r="A16" s="6"/>
      <c r="B16" s="6"/>
      <c r="C16" s="6"/>
      <c r="D16" s="21">
        <v>13</v>
      </c>
      <c r="E16" s="21" t="s">
        <v>612</v>
      </c>
      <c r="F16" s="20" t="s">
        <v>920</v>
      </c>
      <c r="G16" s="20" t="s">
        <v>921</v>
      </c>
      <c r="H16" s="29" t="s">
        <v>1287</v>
      </c>
      <c r="I16" s="21" t="s">
        <v>84</v>
      </c>
      <c r="J16" s="21" t="s">
        <v>1301</v>
      </c>
      <c r="K16" s="21"/>
      <c r="L16" s="21" t="s">
        <v>815</v>
      </c>
      <c r="M16" s="21" t="s">
        <v>612</v>
      </c>
    </row>
    <row r="17" spans="1:13" ht="24.6" x14ac:dyDescent="0.3">
      <c r="A17" s="6"/>
      <c r="B17" s="6"/>
      <c r="C17" s="6"/>
      <c r="D17" s="21">
        <v>14</v>
      </c>
      <c r="E17" s="21" t="s">
        <v>613</v>
      </c>
      <c r="F17" s="20" t="s">
        <v>923</v>
      </c>
      <c r="G17" s="21" t="s">
        <v>922</v>
      </c>
      <c r="H17" s="29" t="s">
        <v>1287</v>
      </c>
      <c r="I17" s="21" t="s">
        <v>84</v>
      </c>
      <c r="J17" s="2" t="s">
        <v>1301</v>
      </c>
      <c r="K17" s="21"/>
      <c r="L17" s="21" t="s">
        <v>818</v>
      </c>
      <c r="M17" s="21" t="s">
        <v>117</v>
      </c>
    </row>
    <row r="18" spans="1:13" ht="24.6" x14ac:dyDescent="0.3">
      <c r="A18" s="6"/>
      <c r="B18" s="6"/>
      <c r="C18" s="6"/>
      <c r="D18" s="21">
        <v>15</v>
      </c>
      <c r="E18" s="21" t="s">
        <v>39</v>
      </c>
      <c r="F18" s="20" t="s">
        <v>391</v>
      </c>
      <c r="G18" s="20" t="s">
        <v>392</v>
      </c>
      <c r="H18" s="21" t="s">
        <v>10</v>
      </c>
      <c r="I18" s="21" t="s">
        <v>93</v>
      </c>
      <c r="J18" s="21" t="s">
        <v>14</v>
      </c>
      <c r="K18" s="21" t="s">
        <v>1237</v>
      </c>
      <c r="L18" s="21" t="s">
        <v>196</v>
      </c>
      <c r="M18" s="21" t="s">
        <v>196</v>
      </c>
    </row>
    <row r="19" spans="1:13" ht="36.6" x14ac:dyDescent="0.3">
      <c r="A19" s="6"/>
      <c r="B19" s="2"/>
      <c r="C19" s="6"/>
      <c r="D19" s="21">
        <v>16</v>
      </c>
      <c r="E19" s="31" t="s">
        <v>589</v>
      </c>
      <c r="F19" s="33" t="s">
        <v>590</v>
      </c>
      <c r="G19" s="33" t="s">
        <v>590</v>
      </c>
      <c r="H19" s="31" t="s">
        <v>10</v>
      </c>
      <c r="I19" s="31" t="s">
        <v>93</v>
      </c>
      <c r="J19" s="32"/>
      <c r="K19" s="21"/>
      <c r="L19" s="31" t="s">
        <v>652</v>
      </c>
      <c r="M19" s="31" t="s">
        <v>588</v>
      </c>
    </row>
    <row r="20" spans="1:13" ht="24.6" x14ac:dyDescent="0.3">
      <c r="A20" s="6"/>
      <c r="B20" s="6"/>
      <c r="C20" s="6"/>
      <c r="D20" s="21">
        <v>17</v>
      </c>
      <c r="E20" s="20" t="s">
        <v>1086</v>
      </c>
      <c r="F20" s="20" t="s">
        <v>313</v>
      </c>
      <c r="G20" s="20" t="s">
        <v>314</v>
      </c>
      <c r="H20" s="21" t="s">
        <v>10</v>
      </c>
      <c r="I20" s="20" t="s">
        <v>84</v>
      </c>
      <c r="J20" s="21" t="s">
        <v>14</v>
      </c>
      <c r="K20" s="21" t="s">
        <v>1237</v>
      </c>
      <c r="L20" s="21" t="s">
        <v>512</v>
      </c>
      <c r="M20" s="21" t="s">
        <v>512</v>
      </c>
    </row>
    <row r="21" spans="1:13" ht="48.6" x14ac:dyDescent="0.3">
      <c r="A21" s="6"/>
      <c r="B21" s="6"/>
      <c r="C21" s="6"/>
      <c r="D21" s="21">
        <v>18</v>
      </c>
      <c r="E21" s="20" t="s">
        <v>1087</v>
      </c>
      <c r="F21" s="20" t="s">
        <v>800</v>
      </c>
      <c r="G21" s="20" t="s">
        <v>783</v>
      </c>
      <c r="H21" s="20" t="s">
        <v>13</v>
      </c>
      <c r="I21" s="20" t="s">
        <v>84</v>
      </c>
      <c r="J21" s="20"/>
      <c r="K21" s="21"/>
      <c r="L21" s="21" t="s">
        <v>255</v>
      </c>
      <c r="M21" s="21" t="s">
        <v>256</v>
      </c>
    </row>
    <row r="22" spans="1:13" ht="36.6" x14ac:dyDescent="0.3">
      <c r="A22" s="6"/>
      <c r="B22" s="6"/>
      <c r="C22" s="6"/>
      <c r="D22" s="21">
        <v>19</v>
      </c>
      <c r="E22" s="20" t="s">
        <v>1088</v>
      </c>
      <c r="F22" s="20" t="s">
        <v>749</v>
      </c>
      <c r="G22" s="20" t="s">
        <v>754</v>
      </c>
      <c r="H22" s="20" t="s">
        <v>13</v>
      </c>
      <c r="I22" s="20" t="s">
        <v>84</v>
      </c>
      <c r="J22" s="20"/>
      <c r="K22" s="21"/>
      <c r="L22" s="21" t="s">
        <v>257</v>
      </c>
      <c r="M22" s="21" t="s">
        <v>258</v>
      </c>
    </row>
    <row r="23" spans="1:13" ht="24.6" x14ac:dyDescent="0.3">
      <c r="A23" s="6"/>
      <c r="B23" s="6"/>
      <c r="C23" s="6"/>
      <c r="D23" s="21">
        <v>20</v>
      </c>
      <c r="E23" s="20" t="s">
        <v>685</v>
      </c>
      <c r="F23" s="20" t="s">
        <v>924</v>
      </c>
      <c r="G23" s="20" t="s">
        <v>925</v>
      </c>
      <c r="H23" s="29" t="s">
        <v>1287</v>
      </c>
      <c r="I23" s="21" t="s">
        <v>84</v>
      </c>
      <c r="J23" s="21" t="s">
        <v>1301</v>
      </c>
      <c r="K23" s="21"/>
      <c r="L23" s="21" t="s">
        <v>816</v>
      </c>
      <c r="M23" s="21" t="s">
        <v>259</v>
      </c>
    </row>
    <row r="24" spans="1:13" ht="24.6" x14ac:dyDescent="0.3">
      <c r="A24" s="6"/>
      <c r="B24" s="6"/>
      <c r="C24" s="6"/>
      <c r="D24" s="21">
        <v>21</v>
      </c>
      <c r="E24" s="20" t="s">
        <v>686</v>
      </c>
      <c r="F24" s="20" t="s">
        <v>927</v>
      </c>
      <c r="G24" s="21" t="s">
        <v>926</v>
      </c>
      <c r="H24" s="29" t="s">
        <v>1287</v>
      </c>
      <c r="I24" s="21" t="s">
        <v>84</v>
      </c>
      <c r="J24" s="2" t="s">
        <v>1301</v>
      </c>
      <c r="K24" s="21"/>
      <c r="L24" s="21" t="s">
        <v>817</v>
      </c>
      <c r="M24" s="21"/>
    </row>
    <row r="25" spans="1:13" ht="24.6" x14ac:dyDescent="0.3">
      <c r="A25" s="6"/>
      <c r="B25" s="6"/>
      <c r="C25" s="6"/>
      <c r="D25" s="21">
        <v>22</v>
      </c>
      <c r="E25" s="20" t="s">
        <v>676</v>
      </c>
      <c r="F25" s="20" t="s">
        <v>866</v>
      </c>
      <c r="G25" s="20" t="s">
        <v>867</v>
      </c>
      <c r="H25" s="21" t="s">
        <v>10</v>
      </c>
      <c r="I25" s="20" t="s">
        <v>93</v>
      </c>
      <c r="J25" s="20" t="s">
        <v>14</v>
      </c>
      <c r="K25" s="21" t="s">
        <v>1231</v>
      </c>
      <c r="L25" s="21" t="s">
        <v>682</v>
      </c>
      <c r="M25" s="20"/>
    </row>
    <row r="26" spans="1:13" ht="24.6" x14ac:dyDescent="0.3">
      <c r="A26" s="6"/>
      <c r="B26" s="6"/>
      <c r="C26" s="6"/>
      <c r="D26" s="21">
        <v>23</v>
      </c>
      <c r="E26" s="21" t="s">
        <v>244</v>
      </c>
      <c r="F26" s="21" t="s">
        <v>315</v>
      </c>
      <c r="G26" s="21" t="s">
        <v>316</v>
      </c>
      <c r="H26" s="21" t="s">
        <v>10</v>
      </c>
      <c r="I26" s="21" t="s">
        <v>84</v>
      </c>
      <c r="J26" s="21" t="s">
        <v>14</v>
      </c>
      <c r="K26" s="6" t="s">
        <v>1233</v>
      </c>
      <c r="L26" s="21" t="s">
        <v>244</v>
      </c>
      <c r="M26" s="21" t="s">
        <v>244</v>
      </c>
    </row>
    <row r="27" spans="1:13" ht="24.6" x14ac:dyDescent="0.3">
      <c r="A27" s="6"/>
      <c r="B27" s="6"/>
      <c r="C27" s="6"/>
      <c r="D27" s="21">
        <v>24</v>
      </c>
      <c r="E27" s="21" t="s">
        <v>1307</v>
      </c>
      <c r="F27" s="21" t="s">
        <v>1311</v>
      </c>
      <c r="G27" s="20" t="s">
        <v>1326</v>
      </c>
      <c r="H27" s="21" t="s">
        <v>10</v>
      </c>
      <c r="I27" s="21" t="s">
        <v>1309</v>
      </c>
      <c r="J27" s="21" t="s">
        <v>14</v>
      </c>
      <c r="K27" s="21" t="s">
        <v>1231</v>
      </c>
      <c r="L27" s="21" t="s">
        <v>1308</v>
      </c>
      <c r="M27" s="21" t="s">
        <v>1308</v>
      </c>
    </row>
    <row r="28" spans="1:13" ht="48.6" x14ac:dyDescent="0.3">
      <c r="A28" s="6"/>
      <c r="B28" s="6"/>
      <c r="C28" s="6"/>
      <c r="D28" s="21">
        <v>25</v>
      </c>
      <c r="E28" s="21" t="s">
        <v>1328</v>
      </c>
      <c r="F28" s="46" t="s">
        <v>1360</v>
      </c>
      <c r="G28" s="21" t="s">
        <v>1361</v>
      </c>
      <c r="H28" s="21" t="s">
        <v>1295</v>
      </c>
      <c r="I28" s="21" t="s">
        <v>84</v>
      </c>
      <c r="J28" s="21"/>
      <c r="K28" s="21"/>
      <c r="L28" s="21" t="s">
        <v>1329</v>
      </c>
      <c r="M28" s="21" t="s">
        <v>1330</v>
      </c>
    </row>
    <row r="29" spans="1:13" ht="48.6" x14ac:dyDescent="0.3">
      <c r="A29" s="6"/>
      <c r="B29" s="6"/>
      <c r="C29" s="6"/>
      <c r="D29" s="21">
        <v>26</v>
      </c>
      <c r="E29" s="21" t="s">
        <v>1331</v>
      </c>
      <c r="F29" s="46" t="s">
        <v>1362</v>
      </c>
      <c r="G29" s="21" t="s">
        <v>1363</v>
      </c>
      <c r="H29" s="21" t="s">
        <v>1295</v>
      </c>
      <c r="I29" s="21" t="s">
        <v>84</v>
      </c>
      <c r="J29" s="21"/>
      <c r="K29" s="21"/>
      <c r="L29" s="21" t="s">
        <v>1332</v>
      </c>
      <c r="M29" s="21" t="s">
        <v>1333</v>
      </c>
    </row>
    <row r="30" spans="1:13" ht="48.6" x14ac:dyDescent="0.3">
      <c r="A30" s="6"/>
      <c r="B30" s="6"/>
      <c r="C30" s="6"/>
      <c r="D30" s="21">
        <v>27</v>
      </c>
      <c r="E30" s="21" t="s">
        <v>1334</v>
      </c>
      <c r="F30" s="46" t="s">
        <v>1364</v>
      </c>
      <c r="G30" s="21" t="s">
        <v>1365</v>
      </c>
      <c r="H30" s="21" t="s">
        <v>10</v>
      </c>
      <c r="I30" s="21" t="s">
        <v>84</v>
      </c>
      <c r="J30" s="21" t="s">
        <v>1335</v>
      </c>
      <c r="K30" s="21" t="s">
        <v>1336</v>
      </c>
      <c r="L30" s="21" t="s">
        <v>1337</v>
      </c>
      <c r="M30" s="21" t="s">
        <v>1338</v>
      </c>
    </row>
    <row r="31" spans="1:13" ht="48" x14ac:dyDescent="0.3">
      <c r="A31" s="6"/>
      <c r="B31" s="6"/>
      <c r="C31" s="6"/>
      <c r="D31" s="21">
        <v>28</v>
      </c>
      <c r="E31" s="21" t="s">
        <v>1339</v>
      </c>
      <c r="F31" s="46" t="s">
        <v>1366</v>
      </c>
      <c r="G31" s="21" t="s">
        <v>1367</v>
      </c>
      <c r="H31" s="21" t="s">
        <v>10</v>
      </c>
      <c r="I31" s="21" t="s">
        <v>84</v>
      </c>
      <c r="J31" s="21" t="s">
        <v>14</v>
      </c>
      <c r="K31" s="29" t="s">
        <v>1341</v>
      </c>
      <c r="L31" s="21" t="s">
        <v>1342</v>
      </c>
      <c r="M31" s="21" t="s">
        <v>1340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
  <sheetViews>
    <sheetView zoomScaleNormal="100" workbookViewId="0">
      <selection activeCell="F26" sqref="F26"/>
    </sheetView>
  </sheetViews>
  <sheetFormatPr defaultColWidth="5.77734375" defaultRowHeight="12" x14ac:dyDescent="0.3"/>
  <cols>
    <col min="1" max="1" width="6.21875" style="4" bestFit="1" customWidth="1"/>
    <col min="2" max="2" width="6.77734375" style="4" customWidth="1"/>
    <col min="3" max="3" width="15.21875" style="4" customWidth="1"/>
    <col min="4" max="4" width="6.44140625" style="4" customWidth="1"/>
    <col min="5" max="5" width="20.21875" style="4" customWidth="1"/>
    <col min="6" max="6" width="15.21875" style="4" customWidth="1"/>
    <col min="7" max="7" width="14" style="4" bestFit="1" customWidth="1"/>
    <col min="8" max="8" width="6.77734375" style="4" customWidth="1"/>
    <col min="9" max="9" width="9.21875" style="4" customWidth="1"/>
    <col min="10" max="10" width="9.21875" style="4" bestFit="1" customWidth="1"/>
    <col min="11" max="11" width="21.21875" style="38" customWidth="1"/>
    <col min="12" max="13" width="54.77734375" style="4" customWidth="1"/>
    <col min="14" max="16384" width="5.77734375" style="4"/>
  </cols>
  <sheetData>
    <row r="1" spans="1:13" s="8" customFormat="1" ht="24" x14ac:dyDescent="0.25">
      <c r="A1" s="14" t="s">
        <v>41</v>
      </c>
      <c r="B1" s="15" t="s">
        <v>99</v>
      </c>
      <c r="C1" s="15" t="s">
        <v>105</v>
      </c>
      <c r="D1" s="15" t="s">
        <v>5</v>
      </c>
      <c r="E1" s="15" t="s">
        <v>984</v>
      </c>
      <c r="F1" s="15" t="s">
        <v>100</v>
      </c>
      <c r="G1" s="15" t="s">
        <v>288</v>
      </c>
      <c r="H1" s="15" t="s">
        <v>6</v>
      </c>
      <c r="I1" s="15" t="s">
        <v>106</v>
      </c>
      <c r="J1" s="15" t="s">
        <v>7</v>
      </c>
      <c r="K1" s="15" t="s">
        <v>987</v>
      </c>
      <c r="L1" s="15" t="s">
        <v>8</v>
      </c>
      <c r="M1" s="15" t="s">
        <v>98</v>
      </c>
    </row>
    <row r="2" spans="1:13" ht="24" x14ac:dyDescent="0.25">
      <c r="A2" s="17" t="s">
        <v>12</v>
      </c>
      <c r="B2" s="17" t="s">
        <v>57</v>
      </c>
      <c r="C2" s="34"/>
      <c r="D2" s="17" t="s">
        <v>849</v>
      </c>
      <c r="E2" s="17" t="s">
        <v>705</v>
      </c>
      <c r="F2" s="17" t="s">
        <v>298</v>
      </c>
      <c r="G2" s="17" t="s">
        <v>298</v>
      </c>
      <c r="H2" s="16" t="s">
        <v>13</v>
      </c>
      <c r="I2" s="17" t="s">
        <v>11</v>
      </c>
      <c r="J2" s="17"/>
      <c r="K2" s="39"/>
      <c r="L2" s="16" t="s">
        <v>620</v>
      </c>
      <c r="M2" s="16" t="s">
        <v>102</v>
      </c>
    </row>
    <row r="3" spans="1:13" ht="24" x14ac:dyDescent="0.25">
      <c r="A3" s="17" t="s">
        <v>12</v>
      </c>
      <c r="B3" s="17" t="s">
        <v>1</v>
      </c>
      <c r="C3" s="17" t="s">
        <v>214</v>
      </c>
      <c r="D3" s="17" t="s">
        <v>849</v>
      </c>
      <c r="E3" s="17" t="s">
        <v>101</v>
      </c>
      <c r="F3" s="17" t="s">
        <v>293</v>
      </c>
      <c r="G3" s="17" t="s">
        <v>293</v>
      </c>
      <c r="H3" s="16" t="s">
        <v>13</v>
      </c>
      <c r="I3" s="17" t="s">
        <v>11</v>
      </c>
      <c r="J3" s="17"/>
      <c r="K3" s="39"/>
      <c r="L3" s="17" t="s">
        <v>711</v>
      </c>
      <c r="M3" s="17" t="s">
        <v>82</v>
      </c>
    </row>
    <row r="4" spans="1:13" x14ac:dyDescent="0.25">
      <c r="A4" s="1"/>
      <c r="B4" s="1"/>
      <c r="C4" s="1"/>
      <c r="D4" s="1">
        <v>1</v>
      </c>
      <c r="E4" s="1" t="s">
        <v>9</v>
      </c>
      <c r="F4" s="6" t="s">
        <v>359</v>
      </c>
      <c r="G4" s="6" t="s">
        <v>360</v>
      </c>
      <c r="H4" s="1" t="s">
        <v>10</v>
      </c>
      <c r="I4" s="1" t="s">
        <v>11</v>
      </c>
      <c r="J4" s="1"/>
      <c r="K4" s="36"/>
      <c r="L4" s="1" t="s">
        <v>63</v>
      </c>
      <c r="M4" s="3" t="s">
        <v>110</v>
      </c>
    </row>
    <row r="5" spans="1:13" ht="24" x14ac:dyDescent="0.25">
      <c r="A5" s="1"/>
      <c r="B5" s="1"/>
      <c r="C5" s="1" t="s">
        <v>214</v>
      </c>
      <c r="D5" s="1">
        <v>2</v>
      </c>
      <c r="E5" s="1" t="s">
        <v>44</v>
      </c>
      <c r="F5" s="1" t="s">
        <v>410</v>
      </c>
      <c r="G5" s="1" t="s">
        <v>413</v>
      </c>
      <c r="H5" s="1" t="s">
        <v>10</v>
      </c>
      <c r="I5" s="1" t="s">
        <v>11</v>
      </c>
      <c r="J5" s="1" t="s">
        <v>14</v>
      </c>
      <c r="K5" s="6" t="s">
        <v>1240</v>
      </c>
      <c r="L5" s="6" t="s">
        <v>989</v>
      </c>
      <c r="M5" s="1" t="s">
        <v>111</v>
      </c>
    </row>
    <row r="6" spans="1:13" ht="24" x14ac:dyDescent="0.25">
      <c r="A6" s="1"/>
      <c r="B6" s="1"/>
      <c r="C6" s="1" t="s">
        <v>214</v>
      </c>
      <c r="D6" s="1">
        <v>3</v>
      </c>
      <c r="E6" s="1" t="s">
        <v>50</v>
      </c>
      <c r="F6" s="1" t="s">
        <v>411</v>
      </c>
      <c r="G6" s="1" t="s">
        <v>412</v>
      </c>
      <c r="H6" s="1" t="s">
        <v>10</v>
      </c>
      <c r="I6" s="1" t="s">
        <v>11</v>
      </c>
      <c r="J6" s="1" t="s">
        <v>14</v>
      </c>
      <c r="K6" s="6" t="s">
        <v>1241</v>
      </c>
      <c r="L6" s="6" t="s">
        <v>51</v>
      </c>
      <c r="M6" s="1" t="s">
        <v>112</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
  <sheetViews>
    <sheetView zoomScale="80" zoomScaleNormal="80" workbookViewId="0"/>
  </sheetViews>
  <sheetFormatPr defaultColWidth="8.77734375" defaultRowHeight="14.4" x14ac:dyDescent="0.3"/>
  <cols>
    <col min="1" max="1" width="6.21875" style="2" bestFit="1" customWidth="1"/>
    <col min="2" max="2" width="8.44140625" style="2" customWidth="1"/>
    <col min="3" max="3" width="16.21875" style="2" customWidth="1"/>
    <col min="4" max="4" width="5.77734375" style="2" customWidth="1"/>
    <col min="5" max="5" width="20.77734375" style="2" bestFit="1" customWidth="1"/>
    <col min="6" max="6" width="20.77734375" style="2" customWidth="1"/>
    <col min="7" max="7" width="15.21875" style="2" customWidth="1"/>
    <col min="8" max="8" width="10.77734375" style="2" customWidth="1"/>
    <col min="9" max="9" width="8.77734375" style="2" bestFit="1" customWidth="1"/>
    <col min="10" max="10" width="9.77734375" style="2" bestFit="1" customWidth="1"/>
    <col min="11" max="11" width="21.77734375" style="37" customWidth="1"/>
    <col min="12" max="13" width="65" style="2" customWidth="1"/>
  </cols>
  <sheetData>
    <row r="1" spans="1:13" ht="30.75" customHeight="1" x14ac:dyDescent="0.3">
      <c r="A1" s="25" t="s">
        <v>41</v>
      </c>
      <c r="B1" s="26" t="s">
        <v>99</v>
      </c>
      <c r="C1" s="26" t="s">
        <v>105</v>
      </c>
      <c r="D1" s="26" t="s">
        <v>5</v>
      </c>
      <c r="E1" s="26" t="s">
        <v>984</v>
      </c>
      <c r="F1" s="26" t="s">
        <v>100</v>
      </c>
      <c r="G1" s="26" t="s">
        <v>288</v>
      </c>
      <c r="H1" s="26" t="s">
        <v>6</v>
      </c>
      <c r="I1" s="26" t="s">
        <v>106</v>
      </c>
      <c r="J1" s="26" t="s">
        <v>7</v>
      </c>
      <c r="K1" s="26" t="s">
        <v>987</v>
      </c>
      <c r="L1" s="26" t="s">
        <v>8</v>
      </c>
      <c r="M1" s="26" t="s">
        <v>98</v>
      </c>
    </row>
    <row r="2" spans="1:13" ht="24.6" x14ac:dyDescent="0.3">
      <c r="A2" s="6" t="s">
        <v>12</v>
      </c>
      <c r="B2" s="6" t="s">
        <v>57</v>
      </c>
      <c r="C2" s="6"/>
      <c r="D2" s="6" t="s">
        <v>849</v>
      </c>
      <c r="E2" s="6" t="s">
        <v>262</v>
      </c>
      <c r="F2" s="6" t="s">
        <v>265</v>
      </c>
      <c r="G2" s="6" t="s">
        <v>265</v>
      </c>
      <c r="H2" s="6" t="s">
        <v>13</v>
      </c>
      <c r="I2" s="6" t="s">
        <v>11</v>
      </c>
      <c r="J2" s="6"/>
      <c r="K2" s="6"/>
      <c r="L2" s="6" t="s">
        <v>707</v>
      </c>
      <c r="M2" s="6" t="s">
        <v>102</v>
      </c>
    </row>
    <row r="3" spans="1:13" ht="24.6" x14ac:dyDescent="0.3">
      <c r="A3" s="6" t="s">
        <v>12</v>
      </c>
      <c r="B3" s="6" t="s">
        <v>1</v>
      </c>
      <c r="C3" s="6" t="s">
        <v>214</v>
      </c>
      <c r="D3" s="6" t="s">
        <v>849</v>
      </c>
      <c r="E3" s="6" t="s">
        <v>705</v>
      </c>
      <c r="F3" s="6" t="s">
        <v>298</v>
      </c>
      <c r="G3" s="6" t="s">
        <v>298</v>
      </c>
      <c r="H3" s="6" t="s">
        <v>13</v>
      </c>
      <c r="I3" s="6" t="s">
        <v>11</v>
      </c>
      <c r="J3" s="6"/>
      <c r="K3" s="6"/>
      <c r="L3" s="6" t="s">
        <v>622</v>
      </c>
      <c r="M3" s="6" t="s">
        <v>83</v>
      </c>
    </row>
    <row r="4" spans="1:13" ht="24.6" x14ac:dyDescent="0.3">
      <c r="A4" s="6" t="s">
        <v>12</v>
      </c>
      <c r="B4" s="6" t="s">
        <v>1</v>
      </c>
      <c r="C4" s="6" t="s">
        <v>214</v>
      </c>
      <c r="D4" s="6" t="s">
        <v>849</v>
      </c>
      <c r="E4" s="6" t="s">
        <v>208</v>
      </c>
      <c r="F4" s="6" t="s">
        <v>243</v>
      </c>
      <c r="G4" s="6" t="s">
        <v>243</v>
      </c>
      <c r="H4" s="6" t="s">
        <v>10</v>
      </c>
      <c r="I4" s="6" t="s">
        <v>11</v>
      </c>
      <c r="J4" s="6"/>
      <c r="K4" s="6"/>
      <c r="L4" s="6" t="s">
        <v>712</v>
      </c>
      <c r="M4" s="6" t="s">
        <v>115</v>
      </c>
    </row>
    <row r="5" spans="1:13" ht="24.6" x14ac:dyDescent="0.3">
      <c r="A5" s="6" t="s">
        <v>12</v>
      </c>
      <c r="B5" s="6" t="s">
        <v>1</v>
      </c>
      <c r="C5" s="6" t="s">
        <v>214</v>
      </c>
      <c r="D5" s="6" t="s">
        <v>849</v>
      </c>
      <c r="E5" s="6" t="s">
        <v>207</v>
      </c>
      <c r="F5" s="6" t="s">
        <v>299</v>
      </c>
      <c r="G5" s="6" t="s">
        <v>299</v>
      </c>
      <c r="H5" s="6" t="s">
        <v>13</v>
      </c>
      <c r="I5" s="6" t="s">
        <v>86</v>
      </c>
      <c r="J5" s="6"/>
      <c r="K5" s="6"/>
      <c r="L5" s="6" t="s">
        <v>713</v>
      </c>
      <c r="M5" s="6" t="s">
        <v>114</v>
      </c>
    </row>
    <row r="6" spans="1:13" x14ac:dyDescent="0.3">
      <c r="A6" s="21"/>
      <c r="B6" s="21"/>
      <c r="C6" s="21"/>
      <c r="D6" s="21">
        <v>1</v>
      </c>
      <c r="E6" s="6" t="s">
        <v>9</v>
      </c>
      <c r="F6" s="6" t="s">
        <v>361</v>
      </c>
      <c r="G6" s="6" t="s">
        <v>363</v>
      </c>
      <c r="H6" s="6" t="s">
        <v>10</v>
      </c>
      <c r="I6" s="6" t="s">
        <v>11</v>
      </c>
      <c r="J6" s="6"/>
      <c r="K6" s="5"/>
      <c r="L6" s="6" t="s">
        <v>263</v>
      </c>
      <c r="M6" s="21" t="s">
        <v>263</v>
      </c>
    </row>
    <row r="7" spans="1:13" ht="24.6" x14ac:dyDescent="0.3">
      <c r="A7" s="21"/>
      <c r="B7" s="21"/>
      <c r="C7" s="21" t="s">
        <v>214</v>
      </c>
      <c r="D7" s="21">
        <v>2</v>
      </c>
      <c r="E7" s="6" t="s">
        <v>631</v>
      </c>
      <c r="F7" s="6" t="s">
        <v>665</v>
      </c>
      <c r="G7" s="6" t="s">
        <v>666</v>
      </c>
      <c r="H7" s="6" t="s">
        <v>13</v>
      </c>
      <c r="I7" s="6" t="s">
        <v>11</v>
      </c>
      <c r="J7" s="6"/>
      <c r="K7" s="5"/>
      <c r="L7" s="6" t="s">
        <v>667</v>
      </c>
      <c r="M7" s="21" t="s">
        <v>667</v>
      </c>
    </row>
    <row r="8" spans="1:13" ht="36.6" x14ac:dyDescent="0.3">
      <c r="A8" s="21"/>
      <c r="B8" s="21"/>
      <c r="C8" s="21"/>
      <c r="D8" s="21">
        <v>3</v>
      </c>
      <c r="E8" s="6" t="s">
        <v>1092</v>
      </c>
      <c r="F8" s="6" t="s">
        <v>567</v>
      </c>
      <c r="G8" s="6" t="s">
        <v>568</v>
      </c>
      <c r="H8" s="6" t="s">
        <v>515</v>
      </c>
      <c r="I8" s="6" t="s">
        <v>11</v>
      </c>
      <c r="J8" s="21" t="s">
        <v>990</v>
      </c>
      <c r="K8" s="20"/>
      <c r="L8" s="21" t="s">
        <v>991</v>
      </c>
      <c r="M8" s="21" t="s">
        <v>564</v>
      </c>
    </row>
    <row r="9" spans="1:13" ht="24.6" x14ac:dyDescent="0.3">
      <c r="A9" s="21"/>
      <c r="B9" s="21"/>
      <c r="C9" s="21"/>
      <c r="D9" s="21">
        <v>4</v>
      </c>
      <c r="E9" s="5" t="s">
        <v>246</v>
      </c>
      <c r="F9" s="5" t="s">
        <v>362</v>
      </c>
      <c r="G9" s="5" t="s">
        <v>362</v>
      </c>
      <c r="H9" s="5" t="s">
        <v>247</v>
      </c>
      <c r="I9" s="5" t="s">
        <v>93</v>
      </c>
      <c r="J9" s="20" t="s">
        <v>14</v>
      </c>
      <c r="K9" s="21" t="s">
        <v>1231</v>
      </c>
      <c r="L9" s="21" t="s">
        <v>1019</v>
      </c>
      <c r="M9" s="21" t="s">
        <v>1020</v>
      </c>
    </row>
    <row r="10" spans="1:13" ht="24.6" x14ac:dyDescent="0.3">
      <c r="A10" s="21"/>
      <c r="B10" s="21"/>
      <c r="C10" s="21"/>
      <c r="D10" s="21">
        <v>5</v>
      </c>
      <c r="E10" s="6" t="s">
        <v>1093</v>
      </c>
      <c r="F10" s="6" t="s">
        <v>738</v>
      </c>
      <c r="G10" s="6" t="s">
        <v>738</v>
      </c>
      <c r="H10" s="6" t="s">
        <v>10</v>
      </c>
      <c r="I10" s="6" t="s">
        <v>93</v>
      </c>
      <c r="J10" s="21"/>
      <c r="K10" s="20"/>
      <c r="L10" s="21" t="s">
        <v>1173</v>
      </c>
      <c r="M10" s="21" t="s">
        <v>1029</v>
      </c>
    </row>
    <row r="11" spans="1:13" ht="24.6" x14ac:dyDescent="0.3">
      <c r="A11" s="21"/>
      <c r="B11" s="21"/>
      <c r="C11" s="21"/>
      <c r="D11" s="21">
        <v>6</v>
      </c>
      <c r="E11" s="5" t="s">
        <v>250</v>
      </c>
      <c r="F11" s="5" t="s">
        <v>341</v>
      </c>
      <c r="G11" s="5" t="s">
        <v>341</v>
      </c>
      <c r="H11" s="6" t="s">
        <v>10</v>
      </c>
      <c r="I11" s="5" t="s">
        <v>93</v>
      </c>
      <c r="J11" s="21" t="s">
        <v>14</v>
      </c>
      <c r="K11" s="21" t="s">
        <v>1235</v>
      </c>
      <c r="L11" s="21" t="s">
        <v>251</v>
      </c>
      <c r="M11" s="21" t="s">
        <v>252</v>
      </c>
    </row>
    <row r="12" spans="1:13" x14ac:dyDescent="0.3">
      <c r="A12" s="21"/>
      <c r="B12" s="21"/>
      <c r="C12" s="21"/>
      <c r="D12" s="21">
        <v>7</v>
      </c>
      <c r="E12" s="5" t="s">
        <v>1090</v>
      </c>
      <c r="F12" s="5" t="s">
        <v>342</v>
      </c>
      <c r="G12" s="5" t="s">
        <v>342</v>
      </c>
      <c r="H12" s="6" t="s">
        <v>10</v>
      </c>
      <c r="I12" s="5" t="s">
        <v>93</v>
      </c>
      <c r="J12" s="5"/>
      <c r="K12" s="5"/>
      <c r="L12" s="6" t="s">
        <v>534</v>
      </c>
      <c r="M12" s="21" t="s">
        <v>254</v>
      </c>
    </row>
    <row r="13" spans="1:13" ht="24.6" x14ac:dyDescent="0.3">
      <c r="A13" s="30"/>
      <c r="B13" s="30"/>
      <c r="C13" s="30"/>
      <c r="D13" s="21">
        <v>8</v>
      </c>
      <c r="E13" s="6" t="s">
        <v>245</v>
      </c>
      <c r="F13" s="6" t="s">
        <v>343</v>
      </c>
      <c r="G13" s="6" t="s">
        <v>343</v>
      </c>
      <c r="H13" s="6" t="s">
        <v>10</v>
      </c>
      <c r="I13" s="6" t="s">
        <v>17</v>
      </c>
      <c r="J13" s="6" t="s">
        <v>14</v>
      </c>
      <c r="K13" s="21" t="s">
        <v>1236</v>
      </c>
      <c r="L13" s="6" t="s">
        <v>814</v>
      </c>
      <c r="M13" s="21" t="s">
        <v>602</v>
      </c>
    </row>
    <row r="14" spans="1:13" x14ac:dyDescent="0.3">
      <c r="A14" s="21"/>
      <c r="B14" s="21"/>
      <c r="C14" s="21"/>
      <c r="D14" s="21">
        <v>9</v>
      </c>
      <c r="E14" s="6" t="s">
        <v>1084</v>
      </c>
      <c r="F14" s="6" t="s">
        <v>678</v>
      </c>
      <c r="G14" s="6" t="s">
        <v>680</v>
      </c>
      <c r="H14" s="6" t="s">
        <v>13</v>
      </c>
      <c r="I14" s="6" t="s">
        <v>84</v>
      </c>
      <c r="J14" s="6"/>
      <c r="K14" s="5"/>
      <c r="L14" s="6" t="s">
        <v>224</v>
      </c>
      <c r="M14" s="21" t="s">
        <v>224</v>
      </c>
    </row>
    <row r="15" spans="1:13" ht="36.6" x14ac:dyDescent="0.3">
      <c r="A15" s="21"/>
      <c r="B15" s="21"/>
      <c r="C15" s="21"/>
      <c r="D15" s="21">
        <v>10</v>
      </c>
      <c r="E15" s="6" t="s">
        <v>1094</v>
      </c>
      <c r="F15" s="5" t="s">
        <v>681</v>
      </c>
      <c r="G15" s="5" t="s">
        <v>679</v>
      </c>
      <c r="H15" s="6" t="s">
        <v>13</v>
      </c>
      <c r="I15" s="6" t="s">
        <v>84</v>
      </c>
      <c r="J15" s="6"/>
      <c r="K15" s="5"/>
      <c r="L15" s="6" t="s">
        <v>225</v>
      </c>
      <c r="M15" s="21" t="s">
        <v>225</v>
      </c>
    </row>
    <row r="16" spans="1:13" s="13" customFormat="1" x14ac:dyDescent="0.3">
      <c r="A16" s="21"/>
      <c r="B16" s="21"/>
      <c r="C16" s="21"/>
      <c r="D16" s="21">
        <v>11</v>
      </c>
      <c r="E16" s="6" t="s">
        <v>612</v>
      </c>
      <c r="F16" s="5" t="s">
        <v>961</v>
      </c>
      <c r="G16" s="5" t="s">
        <v>962</v>
      </c>
      <c r="H16" s="29" t="s">
        <v>1287</v>
      </c>
      <c r="I16" s="21" t="s">
        <v>84</v>
      </c>
      <c r="J16" s="21" t="s">
        <v>1301</v>
      </c>
      <c r="K16" s="5"/>
      <c r="L16" s="6" t="s">
        <v>815</v>
      </c>
      <c r="M16" s="21" t="s">
        <v>612</v>
      </c>
    </row>
    <row r="17" spans="1:13" x14ac:dyDescent="0.3">
      <c r="A17" s="21"/>
      <c r="B17" s="21"/>
      <c r="C17" s="21"/>
      <c r="D17" s="21">
        <v>12</v>
      </c>
      <c r="E17" s="6" t="s">
        <v>117</v>
      </c>
      <c r="F17" s="5" t="s">
        <v>964</v>
      </c>
      <c r="G17" s="6" t="s">
        <v>963</v>
      </c>
      <c r="H17" s="29" t="s">
        <v>1287</v>
      </c>
      <c r="I17" s="21" t="s">
        <v>84</v>
      </c>
      <c r="J17" s="2" t="s">
        <v>1301</v>
      </c>
      <c r="K17" s="5"/>
      <c r="L17" s="6" t="s">
        <v>818</v>
      </c>
      <c r="M17" s="21" t="s">
        <v>117</v>
      </c>
    </row>
    <row r="18" spans="1:13" ht="24.6" x14ac:dyDescent="0.3">
      <c r="A18" s="21"/>
      <c r="B18" s="20"/>
      <c r="C18" s="20"/>
      <c r="D18" s="21">
        <v>13</v>
      </c>
      <c r="E18" s="5" t="s">
        <v>39</v>
      </c>
      <c r="F18" s="5" t="s">
        <v>394</v>
      </c>
      <c r="G18" s="5" t="s">
        <v>395</v>
      </c>
      <c r="H18" s="5" t="s">
        <v>10</v>
      </c>
      <c r="I18" s="6" t="s">
        <v>93</v>
      </c>
      <c r="J18" s="5" t="s">
        <v>14</v>
      </c>
      <c r="K18" s="21" t="s">
        <v>1237</v>
      </c>
      <c r="L18" s="6" t="s">
        <v>118</v>
      </c>
      <c r="M18" s="21" t="s">
        <v>118</v>
      </c>
    </row>
    <row r="19" spans="1:13" ht="36.6" x14ac:dyDescent="0.3">
      <c r="A19" s="21"/>
      <c r="B19" s="32"/>
      <c r="C19" s="21"/>
      <c r="D19" s="21">
        <v>14</v>
      </c>
      <c r="E19" s="51" t="s">
        <v>589</v>
      </c>
      <c r="F19" s="40" t="s">
        <v>591</v>
      </c>
      <c r="G19" s="40" t="s">
        <v>591</v>
      </c>
      <c r="H19" s="51" t="s">
        <v>10</v>
      </c>
      <c r="I19" s="51" t="s">
        <v>93</v>
      </c>
      <c r="K19" s="5"/>
      <c r="L19" s="51" t="s">
        <v>668</v>
      </c>
      <c r="M19" s="31" t="s">
        <v>668</v>
      </c>
    </row>
    <row r="20" spans="1:13" ht="24.6" x14ac:dyDescent="0.3">
      <c r="A20" s="21"/>
      <c r="B20" s="21"/>
      <c r="C20" s="21"/>
      <c r="D20" s="21">
        <v>15</v>
      </c>
      <c r="E20" s="5" t="s">
        <v>1086</v>
      </c>
      <c r="F20" s="5" t="s">
        <v>317</v>
      </c>
      <c r="G20" s="5" t="s">
        <v>318</v>
      </c>
      <c r="H20" s="6" t="s">
        <v>10</v>
      </c>
      <c r="I20" s="5" t="s">
        <v>84</v>
      </c>
      <c r="J20" s="6" t="s">
        <v>14</v>
      </c>
      <c r="K20" s="21" t="s">
        <v>1237</v>
      </c>
      <c r="L20" s="6" t="s">
        <v>512</v>
      </c>
      <c r="M20" s="21" t="s">
        <v>512</v>
      </c>
    </row>
    <row r="21" spans="1:13" ht="36.6" x14ac:dyDescent="0.3">
      <c r="A21" s="21"/>
      <c r="B21" s="21"/>
      <c r="C21" s="21"/>
      <c r="D21" s="21">
        <v>16</v>
      </c>
      <c r="E21" s="5" t="s">
        <v>1087</v>
      </c>
      <c r="F21" s="5" t="s">
        <v>801</v>
      </c>
      <c r="G21" s="5" t="s">
        <v>784</v>
      </c>
      <c r="H21" s="5" t="s">
        <v>13</v>
      </c>
      <c r="I21" s="5" t="s">
        <v>84</v>
      </c>
      <c r="J21" s="5"/>
      <c r="K21" s="5"/>
      <c r="L21" s="6" t="s">
        <v>255</v>
      </c>
      <c r="M21" s="21" t="s">
        <v>256</v>
      </c>
    </row>
    <row r="22" spans="1:13" ht="24.6" x14ac:dyDescent="0.3">
      <c r="A22" s="21"/>
      <c r="B22" s="21"/>
      <c r="C22" s="21"/>
      <c r="D22" s="21">
        <v>17</v>
      </c>
      <c r="E22" s="5" t="s">
        <v>1088</v>
      </c>
      <c r="F22" s="5" t="s">
        <v>750</v>
      </c>
      <c r="G22" s="5" t="s">
        <v>751</v>
      </c>
      <c r="H22" s="5" t="s">
        <v>13</v>
      </c>
      <c r="I22" s="5" t="s">
        <v>84</v>
      </c>
      <c r="J22" s="5"/>
      <c r="K22" s="5"/>
      <c r="L22" s="6" t="s">
        <v>257</v>
      </c>
      <c r="M22" s="21" t="s">
        <v>258</v>
      </c>
    </row>
    <row r="23" spans="1:13" x14ac:dyDescent="0.3">
      <c r="A23" s="21"/>
      <c r="B23" s="21"/>
      <c r="C23" s="21"/>
      <c r="D23" s="21">
        <v>18</v>
      </c>
      <c r="E23" s="5" t="s">
        <v>685</v>
      </c>
      <c r="F23" s="5" t="s">
        <v>968</v>
      </c>
      <c r="G23" s="5" t="s">
        <v>967</v>
      </c>
      <c r="H23" s="29" t="s">
        <v>1287</v>
      </c>
      <c r="I23" s="21" t="s">
        <v>84</v>
      </c>
      <c r="J23" s="21" t="s">
        <v>1301</v>
      </c>
      <c r="K23" s="5"/>
      <c r="L23" s="6" t="s">
        <v>816</v>
      </c>
      <c r="M23" s="21" t="s">
        <v>259</v>
      </c>
    </row>
    <row r="24" spans="1:13" s="13" customFormat="1" x14ac:dyDescent="0.3">
      <c r="A24" s="21"/>
      <c r="B24" s="21"/>
      <c r="C24" s="21"/>
      <c r="D24" s="21">
        <v>19</v>
      </c>
      <c r="E24" s="5" t="s">
        <v>686</v>
      </c>
      <c r="F24" s="5" t="s">
        <v>965</v>
      </c>
      <c r="G24" s="6" t="s">
        <v>966</v>
      </c>
      <c r="H24" s="29" t="s">
        <v>1287</v>
      </c>
      <c r="I24" s="21" t="s">
        <v>84</v>
      </c>
      <c r="J24" s="2" t="s">
        <v>1301</v>
      </c>
      <c r="K24" s="5"/>
      <c r="L24" s="6" t="s">
        <v>817</v>
      </c>
      <c r="M24" s="21"/>
    </row>
    <row r="25" spans="1:13" ht="24.6" x14ac:dyDescent="0.3">
      <c r="A25" s="21"/>
      <c r="B25" s="21"/>
      <c r="C25" s="21"/>
      <c r="D25" s="21">
        <v>20</v>
      </c>
      <c r="E25" s="5" t="s">
        <v>676</v>
      </c>
      <c r="F25" s="5" t="s">
        <v>393</v>
      </c>
      <c r="G25" s="5" t="s">
        <v>677</v>
      </c>
      <c r="H25" s="6" t="s">
        <v>10</v>
      </c>
      <c r="I25" s="5" t="s">
        <v>93</v>
      </c>
      <c r="J25" s="5" t="s">
        <v>14</v>
      </c>
      <c r="K25" s="21" t="s">
        <v>1231</v>
      </c>
      <c r="L25" s="6" t="s">
        <v>682</v>
      </c>
      <c r="M25" s="20"/>
    </row>
    <row r="26" spans="1:13" ht="24.6" x14ac:dyDescent="0.3">
      <c r="A26" s="21"/>
      <c r="B26" s="21"/>
      <c r="C26" s="21"/>
      <c r="D26" s="21">
        <v>21</v>
      </c>
      <c r="E26" s="6" t="s">
        <v>244</v>
      </c>
      <c r="F26" s="6" t="s">
        <v>319</v>
      </c>
      <c r="G26" s="5" t="s">
        <v>320</v>
      </c>
      <c r="H26" s="6" t="s">
        <v>10</v>
      </c>
      <c r="I26" s="6" t="s">
        <v>84</v>
      </c>
      <c r="J26" s="6" t="s">
        <v>14</v>
      </c>
      <c r="K26" s="6" t="s">
        <v>1233</v>
      </c>
      <c r="L26" s="6" t="s">
        <v>244</v>
      </c>
      <c r="M26" s="21" t="s">
        <v>244</v>
      </c>
    </row>
    <row r="27" spans="1:13" ht="24.6" x14ac:dyDescent="0.3">
      <c r="A27" s="21"/>
      <c r="B27" s="21"/>
      <c r="C27" s="21"/>
      <c r="D27" s="21">
        <v>22</v>
      </c>
      <c r="E27" s="21" t="s">
        <v>1307</v>
      </c>
      <c r="F27" s="21" t="s">
        <v>1312</v>
      </c>
      <c r="G27" s="20" t="s">
        <v>1325</v>
      </c>
      <c r="H27" s="21" t="s">
        <v>10</v>
      </c>
      <c r="I27" s="21" t="s">
        <v>1309</v>
      </c>
      <c r="J27" s="21" t="s">
        <v>14</v>
      </c>
      <c r="K27" s="21" t="s">
        <v>1231</v>
      </c>
      <c r="L27" s="21" t="s">
        <v>1308</v>
      </c>
      <c r="M27" s="21" t="s">
        <v>1308</v>
      </c>
    </row>
    <row r="28" spans="1:13" ht="36.6" x14ac:dyDescent="0.3">
      <c r="A28" s="21"/>
      <c r="B28" s="21"/>
      <c r="C28" s="21"/>
      <c r="D28" s="21">
        <v>23</v>
      </c>
      <c r="E28" s="21" t="s">
        <v>1328</v>
      </c>
      <c r="F28" s="46" t="s">
        <v>1368</v>
      </c>
      <c r="G28" s="21" t="s">
        <v>1369</v>
      </c>
      <c r="H28" s="21" t="s">
        <v>1295</v>
      </c>
      <c r="I28" s="21" t="s">
        <v>84</v>
      </c>
      <c r="J28" s="21"/>
      <c r="K28" s="21"/>
      <c r="L28" s="21" t="s">
        <v>1329</v>
      </c>
      <c r="M28" s="21" t="s">
        <v>1330</v>
      </c>
    </row>
    <row r="29" spans="1:13" ht="36.6" x14ac:dyDescent="0.3">
      <c r="A29" s="21"/>
      <c r="B29" s="21"/>
      <c r="C29" s="21"/>
      <c r="D29" s="21">
        <v>24</v>
      </c>
      <c r="E29" s="21" t="s">
        <v>1331</v>
      </c>
      <c r="F29" s="46" t="s">
        <v>1370</v>
      </c>
      <c r="G29" s="21" t="s">
        <v>1371</v>
      </c>
      <c r="H29" s="21" t="s">
        <v>1295</v>
      </c>
      <c r="I29" s="21" t="s">
        <v>84</v>
      </c>
      <c r="J29" s="21"/>
      <c r="K29" s="21"/>
      <c r="L29" s="21" t="s">
        <v>1332</v>
      </c>
      <c r="M29" s="21" t="s">
        <v>1333</v>
      </c>
    </row>
    <row r="30" spans="1:13" ht="36.6" x14ac:dyDescent="0.3">
      <c r="A30" s="21"/>
      <c r="B30" s="21"/>
      <c r="C30" s="21"/>
      <c r="D30" s="21">
        <v>25</v>
      </c>
      <c r="E30" s="21" t="s">
        <v>1334</v>
      </c>
      <c r="F30" s="46" t="s">
        <v>1372</v>
      </c>
      <c r="G30" s="21" t="s">
        <v>1373</v>
      </c>
      <c r="H30" s="21" t="s">
        <v>10</v>
      </c>
      <c r="I30" s="21" t="s">
        <v>84</v>
      </c>
      <c r="J30" s="21" t="s">
        <v>1335</v>
      </c>
      <c r="K30" s="21" t="s">
        <v>1336</v>
      </c>
      <c r="L30" s="21" t="s">
        <v>1337</v>
      </c>
      <c r="M30" s="21" t="s">
        <v>1338</v>
      </c>
    </row>
    <row r="31" spans="1:13" ht="48" x14ac:dyDescent="0.3">
      <c r="A31" s="21"/>
      <c r="B31" s="21"/>
      <c r="C31" s="21"/>
      <c r="D31" s="21">
        <v>26</v>
      </c>
      <c r="E31" s="21" t="s">
        <v>1339</v>
      </c>
      <c r="F31" s="46" t="s">
        <v>1374</v>
      </c>
      <c r="G31" s="21" t="s">
        <v>1375</v>
      </c>
      <c r="H31" s="21" t="s">
        <v>10</v>
      </c>
      <c r="I31" s="21" t="s">
        <v>84</v>
      </c>
      <c r="J31" s="21" t="s">
        <v>14</v>
      </c>
      <c r="K31" s="29" t="s">
        <v>1341</v>
      </c>
      <c r="L31" s="21" t="s">
        <v>1342</v>
      </c>
      <c r="M31" s="21" t="s">
        <v>1340</v>
      </c>
    </row>
    <row r="35" spans="1:1" x14ac:dyDescent="0.3">
      <c r="A35" s="18" t="s">
        <v>982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3"/>
  <sheetViews>
    <sheetView zoomScale="80" zoomScaleNormal="80" workbookViewId="0">
      <pane ySplit="1" topLeftCell="A20" activePane="bottomLeft" state="frozen"/>
      <selection pane="bottomLeft" activeCell="A47" sqref="A47:C48"/>
    </sheetView>
  </sheetViews>
  <sheetFormatPr defaultColWidth="8.77734375" defaultRowHeight="14.4" x14ac:dyDescent="0.3"/>
  <cols>
    <col min="1" max="1" width="6.21875" style="2" bestFit="1" customWidth="1"/>
    <col min="2" max="2" width="8.44140625" style="2" customWidth="1"/>
    <col min="3" max="3" width="15.77734375" style="2" customWidth="1"/>
    <col min="4" max="4" width="8.77734375" style="2" customWidth="1"/>
    <col min="5" max="5" width="24.77734375" style="2" customWidth="1"/>
    <col min="6" max="6" width="20.77734375" style="2" bestFit="1" customWidth="1"/>
    <col min="7" max="7" width="14.77734375" style="2" customWidth="1"/>
    <col min="8" max="8" width="10.77734375" style="2" customWidth="1"/>
    <col min="9" max="9" width="8.77734375" style="2" bestFit="1" customWidth="1"/>
    <col min="10" max="10" width="9.77734375" style="2" bestFit="1" customWidth="1"/>
    <col min="11" max="11" width="24.77734375" style="2" bestFit="1" customWidth="1"/>
    <col min="12" max="13" width="65" style="2"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6" t="s">
        <v>12</v>
      </c>
      <c r="B2" s="6" t="s">
        <v>57</v>
      </c>
      <c r="C2" s="6"/>
      <c r="D2" s="6" t="s">
        <v>849</v>
      </c>
      <c r="E2" s="6" t="s">
        <v>230</v>
      </c>
      <c r="F2" s="6" t="s">
        <v>264</v>
      </c>
      <c r="G2" s="6" t="s">
        <v>264</v>
      </c>
      <c r="H2" s="6" t="s">
        <v>13</v>
      </c>
      <c r="I2" s="6" t="s">
        <v>11</v>
      </c>
      <c r="J2" s="6"/>
      <c r="K2" s="6"/>
      <c r="L2" s="6" t="s">
        <v>620</v>
      </c>
      <c r="M2" s="6" t="s">
        <v>102</v>
      </c>
    </row>
    <row r="3" spans="1:13" ht="24.6" x14ac:dyDescent="0.3">
      <c r="A3" s="6" t="s">
        <v>12</v>
      </c>
      <c r="B3" s="6" t="s">
        <v>1</v>
      </c>
      <c r="C3" s="6"/>
      <c r="D3" s="6" t="s">
        <v>849</v>
      </c>
      <c r="E3" s="6" t="s">
        <v>85</v>
      </c>
      <c r="F3" s="6" t="s">
        <v>242</v>
      </c>
      <c r="G3" s="6" t="s">
        <v>242</v>
      </c>
      <c r="H3" s="6" t="s">
        <v>13</v>
      </c>
      <c r="I3" s="6" t="s">
        <v>86</v>
      </c>
      <c r="J3" s="6"/>
      <c r="K3" s="6"/>
      <c r="L3" s="6" t="s">
        <v>714</v>
      </c>
      <c r="M3" s="6" t="s">
        <v>119</v>
      </c>
    </row>
    <row r="4" spans="1:13" ht="24.6" x14ac:dyDescent="0.3">
      <c r="A4" s="6" t="s">
        <v>12</v>
      </c>
      <c r="B4" s="6" t="s">
        <v>1</v>
      </c>
      <c r="C4" s="6"/>
      <c r="D4" s="6" t="s">
        <v>849</v>
      </c>
      <c r="E4" s="6" t="s">
        <v>266</v>
      </c>
      <c r="F4" s="6" t="s">
        <v>265</v>
      </c>
      <c r="G4" s="6" t="s">
        <v>265</v>
      </c>
      <c r="H4" s="6" t="s">
        <v>13</v>
      </c>
      <c r="I4" s="6" t="s">
        <v>86</v>
      </c>
      <c r="J4" s="6"/>
      <c r="K4" s="6"/>
      <c r="L4" s="6" t="s">
        <v>715</v>
      </c>
      <c r="M4" s="6" t="s">
        <v>120</v>
      </c>
    </row>
    <row r="5" spans="1:13" ht="24.6" x14ac:dyDescent="0.3">
      <c r="A5" s="6" t="s">
        <v>12</v>
      </c>
      <c r="B5" s="6" t="s">
        <v>1</v>
      </c>
      <c r="C5" s="6"/>
      <c r="D5" s="6" t="s">
        <v>849</v>
      </c>
      <c r="E5" s="6" t="s">
        <v>87</v>
      </c>
      <c r="F5" s="6" t="s">
        <v>243</v>
      </c>
      <c r="G5" s="6" t="s">
        <v>243</v>
      </c>
      <c r="H5" s="6" t="s">
        <v>13</v>
      </c>
      <c r="I5" s="6" t="s">
        <v>11</v>
      </c>
      <c r="J5" s="6"/>
      <c r="K5" s="6"/>
      <c r="L5" s="6" t="s">
        <v>716</v>
      </c>
      <c r="M5" s="6" t="s">
        <v>121</v>
      </c>
    </row>
    <row r="6" spans="1:13" ht="24.6" x14ac:dyDescent="0.3">
      <c r="A6" s="6" t="s">
        <v>12</v>
      </c>
      <c r="B6" s="6" t="s">
        <v>1</v>
      </c>
      <c r="C6" s="6"/>
      <c r="D6" s="6" t="s">
        <v>849</v>
      </c>
      <c r="E6" s="6" t="s">
        <v>705</v>
      </c>
      <c r="F6" s="6" t="s">
        <v>298</v>
      </c>
      <c r="G6" s="6" t="s">
        <v>298</v>
      </c>
      <c r="H6" s="6" t="s">
        <v>13</v>
      </c>
      <c r="I6" s="6" t="s">
        <v>86</v>
      </c>
      <c r="J6" s="6"/>
      <c r="K6" s="6"/>
      <c r="L6" s="6" t="s">
        <v>622</v>
      </c>
      <c r="M6" s="6" t="s">
        <v>83</v>
      </c>
    </row>
    <row r="7" spans="1:13" ht="24.6" x14ac:dyDescent="0.3">
      <c r="A7" s="6" t="s">
        <v>12</v>
      </c>
      <c r="B7" s="6" t="s">
        <v>1</v>
      </c>
      <c r="C7" s="6"/>
      <c r="D7" s="6" t="s">
        <v>849</v>
      </c>
      <c r="E7" s="6" t="s">
        <v>96</v>
      </c>
      <c r="F7" s="6" t="s">
        <v>384</v>
      </c>
      <c r="G7" s="6" t="s">
        <v>384</v>
      </c>
      <c r="H7" s="6" t="s">
        <v>13</v>
      </c>
      <c r="I7" s="6" t="s">
        <v>86</v>
      </c>
      <c r="J7" s="6"/>
      <c r="K7" s="6"/>
      <c r="L7" s="6" t="s">
        <v>717</v>
      </c>
      <c r="M7" s="6" t="s">
        <v>557</v>
      </c>
    </row>
    <row r="8" spans="1:13" ht="24.6" x14ac:dyDescent="0.3">
      <c r="A8" s="6" t="s">
        <v>12</v>
      </c>
      <c r="B8" s="6" t="s">
        <v>1</v>
      </c>
      <c r="C8" s="6"/>
      <c r="D8" s="6" t="s">
        <v>849</v>
      </c>
      <c r="E8" s="6" t="s">
        <v>207</v>
      </c>
      <c r="F8" s="6" t="s">
        <v>299</v>
      </c>
      <c r="G8" s="6" t="s">
        <v>299</v>
      </c>
      <c r="H8" s="6" t="s">
        <v>13</v>
      </c>
      <c r="I8" s="6" t="s">
        <v>86</v>
      </c>
      <c r="J8" s="6"/>
      <c r="K8" s="6"/>
      <c r="L8" s="6" t="s">
        <v>718</v>
      </c>
      <c r="M8" s="6" t="s">
        <v>558</v>
      </c>
    </row>
    <row r="9" spans="1:13" x14ac:dyDescent="0.3">
      <c r="A9" s="6"/>
      <c r="B9" s="6"/>
      <c r="C9" s="6"/>
      <c r="D9" s="6">
        <v>1</v>
      </c>
      <c r="E9" s="6" t="s">
        <v>9</v>
      </c>
      <c r="F9" s="6" t="s">
        <v>240</v>
      </c>
      <c r="G9" s="6" t="s">
        <v>241</v>
      </c>
      <c r="H9" s="6" t="s">
        <v>10</v>
      </c>
      <c r="I9" s="6" t="s">
        <v>11</v>
      </c>
      <c r="J9" s="6"/>
      <c r="K9" s="6"/>
      <c r="L9" s="6" t="s">
        <v>125</v>
      </c>
      <c r="M9" s="6" t="s">
        <v>125</v>
      </c>
    </row>
    <row r="10" spans="1:13" ht="84" customHeight="1" x14ac:dyDescent="0.3">
      <c r="A10" s="21"/>
      <c r="B10" s="21"/>
      <c r="C10" s="21"/>
      <c r="D10" s="6">
        <v>2</v>
      </c>
      <c r="E10" s="6" t="s">
        <v>1092</v>
      </c>
      <c r="F10" s="6" t="s">
        <v>837</v>
      </c>
      <c r="G10" s="6" t="s">
        <v>838</v>
      </c>
      <c r="H10" s="6" t="s">
        <v>515</v>
      </c>
      <c r="I10" s="6" t="s">
        <v>11</v>
      </c>
      <c r="J10" s="6" t="s">
        <v>992</v>
      </c>
      <c r="K10" s="6"/>
      <c r="L10" s="6" t="s">
        <v>993</v>
      </c>
      <c r="M10" s="6"/>
    </row>
    <row r="11" spans="1:13" ht="24.6" x14ac:dyDescent="0.3">
      <c r="A11" s="21"/>
      <c r="B11" s="21"/>
      <c r="C11" s="21" t="s">
        <v>214</v>
      </c>
      <c r="D11" s="6">
        <v>3</v>
      </c>
      <c r="E11" s="6" t="s">
        <v>631</v>
      </c>
      <c r="F11" s="6" t="s">
        <v>640</v>
      </c>
      <c r="G11" s="6" t="s">
        <v>641</v>
      </c>
      <c r="H11" s="6" t="s">
        <v>13</v>
      </c>
      <c r="I11" s="6" t="s">
        <v>11</v>
      </c>
      <c r="J11" s="6"/>
      <c r="K11" s="6"/>
      <c r="L11" s="6" t="s">
        <v>664</v>
      </c>
      <c r="M11" s="6" t="s">
        <v>664</v>
      </c>
    </row>
    <row r="12" spans="1:13" ht="24.6" x14ac:dyDescent="0.3">
      <c r="A12" s="21"/>
      <c r="B12" s="21"/>
      <c r="C12" s="21"/>
      <c r="D12" s="6">
        <v>4</v>
      </c>
      <c r="E12" s="20" t="s">
        <v>246</v>
      </c>
      <c r="F12" s="20" t="s">
        <v>267</v>
      </c>
      <c r="G12" s="20" t="s">
        <v>267</v>
      </c>
      <c r="H12" s="20" t="s">
        <v>247</v>
      </c>
      <c r="I12" s="20" t="s">
        <v>93</v>
      </c>
      <c r="J12" s="21" t="s">
        <v>14</v>
      </c>
      <c r="K12" s="21" t="s">
        <v>1231</v>
      </c>
      <c r="L12" s="21" t="s">
        <v>1019</v>
      </c>
      <c r="M12" s="21" t="s">
        <v>1020</v>
      </c>
    </row>
    <row r="13" spans="1:13" ht="24.6" x14ac:dyDescent="0.3">
      <c r="A13" s="21"/>
      <c r="B13" s="21"/>
      <c r="C13" s="21"/>
      <c r="D13" s="6">
        <v>5</v>
      </c>
      <c r="E13" s="21" t="s">
        <v>1095</v>
      </c>
      <c r="F13" s="21" t="s">
        <v>739</v>
      </c>
      <c r="G13" s="21" t="s">
        <v>739</v>
      </c>
      <c r="H13" s="21" t="s">
        <v>10</v>
      </c>
      <c r="I13" s="21" t="s">
        <v>93</v>
      </c>
      <c r="J13" s="21"/>
      <c r="K13" s="21"/>
      <c r="L13" s="21" t="s">
        <v>1173</v>
      </c>
      <c r="M13" s="21" t="s">
        <v>116</v>
      </c>
    </row>
    <row r="14" spans="1:13" ht="24.6" x14ac:dyDescent="0.3">
      <c r="A14" s="21"/>
      <c r="B14" s="21"/>
      <c r="C14" s="21"/>
      <c r="D14" s="6">
        <v>6</v>
      </c>
      <c r="E14" s="20" t="s">
        <v>1096</v>
      </c>
      <c r="F14" s="20" t="s">
        <v>268</v>
      </c>
      <c r="G14" s="20" t="s">
        <v>268</v>
      </c>
      <c r="H14" s="21" t="s">
        <v>10</v>
      </c>
      <c r="I14" s="20" t="s">
        <v>93</v>
      </c>
      <c r="J14" s="21" t="s">
        <v>14</v>
      </c>
      <c r="K14" s="21" t="s">
        <v>1235</v>
      </c>
      <c r="L14" s="21" t="s">
        <v>251</v>
      </c>
      <c r="M14" s="21" t="s">
        <v>252</v>
      </c>
    </row>
    <row r="15" spans="1:13" x14ac:dyDescent="0.3">
      <c r="A15" s="21"/>
      <c r="B15" s="21"/>
      <c r="C15" s="21"/>
      <c r="D15" s="6">
        <v>7</v>
      </c>
      <c r="E15" s="20" t="s">
        <v>1097</v>
      </c>
      <c r="F15" s="20" t="s">
        <v>269</v>
      </c>
      <c r="G15" s="20" t="s">
        <v>269</v>
      </c>
      <c r="H15" s="21" t="s">
        <v>10</v>
      </c>
      <c r="I15" s="20" t="s">
        <v>93</v>
      </c>
      <c r="J15" s="20"/>
      <c r="K15" s="21"/>
      <c r="L15" s="21" t="s">
        <v>534</v>
      </c>
      <c r="M15" s="21" t="s">
        <v>254</v>
      </c>
    </row>
    <row r="16" spans="1:13" ht="24.6" x14ac:dyDescent="0.3">
      <c r="A16" s="21"/>
      <c r="B16" s="21"/>
      <c r="C16" s="21"/>
      <c r="D16" s="6">
        <v>8</v>
      </c>
      <c r="E16" s="21" t="s">
        <v>245</v>
      </c>
      <c r="F16" s="21" t="s">
        <v>270</v>
      </c>
      <c r="G16" s="21" t="s">
        <v>270</v>
      </c>
      <c r="H16" s="21" t="s">
        <v>10</v>
      </c>
      <c r="I16" s="21" t="s">
        <v>17</v>
      </c>
      <c r="J16" s="21" t="s">
        <v>14</v>
      </c>
      <c r="K16" s="21" t="s">
        <v>1236</v>
      </c>
      <c r="L16" s="21" t="s">
        <v>814</v>
      </c>
      <c r="M16" s="21" t="s">
        <v>602</v>
      </c>
    </row>
    <row r="17" spans="1:13" ht="24.6" x14ac:dyDescent="0.3">
      <c r="A17" s="21"/>
      <c r="B17" s="21"/>
      <c r="C17" s="21"/>
      <c r="D17" s="6">
        <v>9</v>
      </c>
      <c r="E17" s="21" t="s">
        <v>574</v>
      </c>
      <c r="F17" s="21" t="s">
        <v>575</v>
      </c>
      <c r="G17" s="21" t="s">
        <v>576</v>
      </c>
      <c r="H17" s="21" t="s">
        <v>10</v>
      </c>
      <c r="I17" s="21" t="s">
        <v>11</v>
      </c>
      <c r="J17" s="21" t="s">
        <v>14</v>
      </c>
      <c r="K17" s="21" t="s">
        <v>1242</v>
      </c>
      <c r="L17" s="30" t="s">
        <v>1281</v>
      </c>
      <c r="M17" s="30" t="s">
        <v>1281</v>
      </c>
    </row>
    <row r="18" spans="1:13" ht="36.6" x14ac:dyDescent="0.3">
      <c r="A18" s="21"/>
      <c r="B18" s="21"/>
      <c r="C18" s="21"/>
      <c r="D18" s="6">
        <v>10</v>
      </c>
      <c r="E18" s="21" t="s">
        <v>1174</v>
      </c>
      <c r="F18" s="21" t="s">
        <v>1175</v>
      </c>
      <c r="G18" s="21" t="s">
        <v>279</v>
      </c>
      <c r="H18" s="21" t="s">
        <v>13</v>
      </c>
      <c r="I18" s="21" t="s">
        <v>86</v>
      </c>
      <c r="J18" s="45" t="s">
        <v>43</v>
      </c>
      <c r="K18" s="21"/>
      <c r="L18" s="21" t="s">
        <v>1176</v>
      </c>
      <c r="M18" s="21" t="s">
        <v>1177</v>
      </c>
    </row>
    <row r="19" spans="1:13" ht="24.6" x14ac:dyDescent="0.3">
      <c r="A19" s="21"/>
      <c r="B19" s="21"/>
      <c r="C19" s="21"/>
      <c r="D19" s="6">
        <v>11</v>
      </c>
      <c r="E19" s="21" t="s">
        <v>45</v>
      </c>
      <c r="F19" s="21" t="s">
        <v>271</v>
      </c>
      <c r="G19" s="21" t="s">
        <v>280</v>
      </c>
      <c r="H19" s="21" t="s">
        <v>10</v>
      </c>
      <c r="I19" s="21" t="s">
        <v>86</v>
      </c>
      <c r="J19" s="21" t="s">
        <v>14</v>
      </c>
      <c r="K19" s="21" t="s">
        <v>1238</v>
      </c>
      <c r="L19" s="21" t="s">
        <v>1178</v>
      </c>
      <c r="M19" s="21" t="s">
        <v>1178</v>
      </c>
    </row>
    <row r="20" spans="1:13" ht="24.6" x14ac:dyDescent="0.3">
      <c r="A20" s="21"/>
      <c r="B20" s="21"/>
      <c r="C20" s="21"/>
      <c r="D20" s="6">
        <v>12</v>
      </c>
      <c r="E20" s="21" t="s">
        <v>122</v>
      </c>
      <c r="F20" s="21" t="s">
        <v>573</v>
      </c>
      <c r="G20" s="21" t="s">
        <v>281</v>
      </c>
      <c r="H20" s="21" t="s">
        <v>10</v>
      </c>
      <c r="I20" s="21" t="s">
        <v>86</v>
      </c>
      <c r="J20" s="21"/>
      <c r="K20" s="21"/>
      <c r="L20" s="21" t="s">
        <v>572</v>
      </c>
      <c r="M20" s="21" t="s">
        <v>122</v>
      </c>
    </row>
    <row r="21" spans="1:13" ht="24.6" x14ac:dyDescent="0.3">
      <c r="A21" s="21"/>
      <c r="B21" s="21"/>
      <c r="C21" s="21"/>
      <c r="D21" s="6">
        <v>13</v>
      </c>
      <c r="E21" s="21" t="s">
        <v>46</v>
      </c>
      <c r="F21" s="21" t="s">
        <v>272</v>
      </c>
      <c r="G21" s="21" t="s">
        <v>282</v>
      </c>
      <c r="H21" s="21" t="s">
        <v>10</v>
      </c>
      <c r="I21" s="21" t="s">
        <v>86</v>
      </c>
      <c r="J21" s="21"/>
      <c r="K21" s="21"/>
      <c r="L21" s="21" t="s">
        <v>1179</v>
      </c>
      <c r="M21" s="21" t="s">
        <v>1180</v>
      </c>
    </row>
    <row r="22" spans="1:13" ht="24.6" x14ac:dyDescent="0.3">
      <c r="A22" s="21"/>
      <c r="B22" s="21"/>
      <c r="C22" s="21" t="s">
        <v>214</v>
      </c>
      <c r="D22" s="6">
        <v>14</v>
      </c>
      <c r="E22" s="21" t="s">
        <v>47</v>
      </c>
      <c r="F22" s="21" t="s">
        <v>273</v>
      </c>
      <c r="G22" s="21" t="s">
        <v>283</v>
      </c>
      <c r="H22" s="21" t="s">
        <v>10</v>
      </c>
      <c r="I22" s="21" t="s">
        <v>11</v>
      </c>
      <c r="J22" s="21" t="s">
        <v>14</v>
      </c>
      <c r="K22" s="21" t="s">
        <v>1238</v>
      </c>
      <c r="L22" s="21" t="s">
        <v>123</v>
      </c>
      <c r="M22" s="21" t="s">
        <v>123</v>
      </c>
    </row>
    <row r="23" spans="1:13" x14ac:dyDescent="0.3">
      <c r="A23" s="21"/>
      <c r="B23" s="21"/>
      <c r="C23" s="21" t="s">
        <v>214</v>
      </c>
      <c r="D23" s="6">
        <v>15</v>
      </c>
      <c r="E23" s="21" t="s">
        <v>1181</v>
      </c>
      <c r="F23" s="21" t="s">
        <v>239</v>
      </c>
      <c r="G23" s="21" t="s">
        <v>284</v>
      </c>
      <c r="H23" s="21" t="s">
        <v>10</v>
      </c>
      <c r="I23" s="21" t="s">
        <v>11</v>
      </c>
      <c r="J23" s="21"/>
      <c r="K23" s="21"/>
      <c r="L23" s="21" t="s">
        <v>48</v>
      </c>
      <c r="M23" s="21" t="s">
        <v>124</v>
      </c>
    </row>
    <row r="24" spans="1:13" ht="24.6" x14ac:dyDescent="0.3">
      <c r="A24" s="21"/>
      <c r="B24" s="21"/>
      <c r="C24" s="21"/>
      <c r="D24" s="6">
        <v>16</v>
      </c>
      <c r="E24" s="21" t="s">
        <v>49</v>
      </c>
      <c r="F24" s="21" t="s">
        <v>274</v>
      </c>
      <c r="G24" s="21" t="s">
        <v>285</v>
      </c>
      <c r="H24" s="21" t="s">
        <v>10</v>
      </c>
      <c r="I24" s="21" t="s">
        <v>86</v>
      </c>
      <c r="J24" s="21"/>
      <c r="K24" s="21"/>
      <c r="L24" s="21" t="s">
        <v>1182</v>
      </c>
      <c r="M24" s="21" t="s">
        <v>1183</v>
      </c>
    </row>
    <row r="25" spans="1:13" x14ac:dyDescent="0.3">
      <c r="A25" s="21"/>
      <c r="B25" s="21"/>
      <c r="C25" s="21"/>
      <c r="D25" s="21">
        <v>17</v>
      </c>
      <c r="E25" s="21" t="s">
        <v>1444</v>
      </c>
      <c r="F25" s="21" t="s">
        <v>1445</v>
      </c>
      <c r="G25" s="21" t="s">
        <v>1446</v>
      </c>
      <c r="H25" s="21" t="s">
        <v>10</v>
      </c>
      <c r="I25" s="21" t="s">
        <v>17</v>
      </c>
      <c r="J25" s="21" t="s">
        <v>1447</v>
      </c>
      <c r="K25" s="21"/>
      <c r="L25" s="21" t="s">
        <v>1492</v>
      </c>
      <c r="M25" s="21"/>
    </row>
    <row r="26" spans="1:13" x14ac:dyDescent="0.3">
      <c r="A26" s="21"/>
      <c r="B26" s="21"/>
      <c r="C26" s="21"/>
      <c r="D26" s="21">
        <v>18</v>
      </c>
      <c r="E26" s="6" t="s">
        <v>1098</v>
      </c>
      <c r="F26" s="6" t="s">
        <v>802</v>
      </c>
      <c r="G26" s="6" t="s">
        <v>785</v>
      </c>
      <c r="H26" s="6" t="s">
        <v>13</v>
      </c>
      <c r="I26" s="6" t="s">
        <v>84</v>
      </c>
      <c r="J26" s="6"/>
      <c r="K26" s="6"/>
      <c r="L26" s="6" t="s">
        <v>223</v>
      </c>
      <c r="M26" s="6" t="s">
        <v>223</v>
      </c>
    </row>
    <row r="27" spans="1:13" x14ac:dyDescent="0.3">
      <c r="A27" s="21"/>
      <c r="B27" s="21"/>
      <c r="C27" s="21"/>
      <c r="D27" s="21">
        <v>19</v>
      </c>
      <c r="E27" s="5" t="s">
        <v>1099</v>
      </c>
      <c r="F27" s="5" t="s">
        <v>756</v>
      </c>
      <c r="G27" s="5" t="s">
        <v>768</v>
      </c>
      <c r="H27" s="6" t="s">
        <v>13</v>
      </c>
      <c r="I27" s="6" t="s">
        <v>84</v>
      </c>
      <c r="J27" s="6"/>
      <c r="K27" s="6"/>
      <c r="L27" s="6" t="s">
        <v>976</v>
      </c>
      <c r="M27" s="6" t="s">
        <v>976</v>
      </c>
    </row>
    <row r="28" spans="1:13" s="13" customFormat="1" x14ac:dyDescent="0.3">
      <c r="A28" s="21"/>
      <c r="B28" s="21"/>
      <c r="C28" s="21"/>
      <c r="D28" s="21">
        <v>20</v>
      </c>
      <c r="E28" s="6" t="s">
        <v>612</v>
      </c>
      <c r="F28" s="5" t="s">
        <v>896</v>
      </c>
      <c r="G28" s="5" t="s">
        <v>898</v>
      </c>
      <c r="H28" s="29" t="s">
        <v>1287</v>
      </c>
      <c r="I28" s="21" t="s">
        <v>84</v>
      </c>
      <c r="J28" s="21" t="s">
        <v>1301</v>
      </c>
      <c r="K28" s="6"/>
      <c r="L28" s="6" t="s">
        <v>815</v>
      </c>
      <c r="M28" s="6" t="s">
        <v>612</v>
      </c>
    </row>
    <row r="29" spans="1:13" x14ac:dyDescent="0.3">
      <c r="A29" s="21"/>
      <c r="B29" s="21"/>
      <c r="C29" s="21"/>
      <c r="D29" s="21">
        <v>21</v>
      </c>
      <c r="E29" s="21" t="s">
        <v>117</v>
      </c>
      <c r="F29" s="20" t="s">
        <v>897</v>
      </c>
      <c r="G29" s="21" t="s">
        <v>899</v>
      </c>
      <c r="H29" s="29" t="s">
        <v>1287</v>
      </c>
      <c r="I29" s="21" t="s">
        <v>84</v>
      </c>
      <c r="J29" s="2" t="s">
        <v>1301</v>
      </c>
      <c r="K29" s="6"/>
      <c r="L29" s="21" t="s">
        <v>818</v>
      </c>
      <c r="M29" s="21" t="s">
        <v>117</v>
      </c>
    </row>
    <row r="30" spans="1:13" s="28" customFormat="1" ht="24.6" x14ac:dyDescent="0.3">
      <c r="A30" s="60"/>
      <c r="B30" s="61"/>
      <c r="C30" s="61"/>
      <c r="D30" s="21">
        <v>22</v>
      </c>
      <c r="E30" s="20" t="s">
        <v>39</v>
      </c>
      <c r="F30" s="20" t="s">
        <v>275</v>
      </c>
      <c r="G30" s="20" t="s">
        <v>278</v>
      </c>
      <c r="H30" s="20" t="s">
        <v>10</v>
      </c>
      <c r="I30" s="20" t="s">
        <v>93</v>
      </c>
      <c r="J30" s="20" t="s">
        <v>14</v>
      </c>
      <c r="K30" s="21" t="s">
        <v>1237</v>
      </c>
      <c r="L30" s="21" t="s">
        <v>550</v>
      </c>
      <c r="M30" s="21" t="s">
        <v>550</v>
      </c>
    </row>
    <row r="31" spans="1:13" x14ac:dyDescent="0.3">
      <c r="A31" s="21"/>
      <c r="B31" s="32"/>
      <c r="C31" s="20"/>
      <c r="D31" s="21">
        <v>23</v>
      </c>
      <c r="E31" s="31" t="s">
        <v>589</v>
      </c>
      <c r="F31" s="33" t="s">
        <v>592</v>
      </c>
      <c r="G31" s="33" t="s">
        <v>592</v>
      </c>
      <c r="H31" s="31" t="s">
        <v>10</v>
      </c>
      <c r="I31" s="31" t="s">
        <v>93</v>
      </c>
      <c r="J31" s="32"/>
      <c r="K31" s="6"/>
      <c r="L31" s="31" t="s">
        <v>633</v>
      </c>
      <c r="M31" s="31" t="s">
        <v>588</v>
      </c>
    </row>
    <row r="32" spans="1:13" ht="24.6" x14ac:dyDescent="0.3">
      <c r="A32" s="21"/>
      <c r="B32" s="21"/>
      <c r="C32" s="21"/>
      <c r="D32" s="21">
        <v>24</v>
      </c>
      <c r="E32" s="20" t="s">
        <v>1086</v>
      </c>
      <c r="F32" s="20" t="s">
        <v>276</v>
      </c>
      <c r="G32" s="20" t="s">
        <v>287</v>
      </c>
      <c r="H32" s="21"/>
      <c r="I32" s="20" t="s">
        <v>84</v>
      </c>
      <c r="J32" s="21" t="s">
        <v>14</v>
      </c>
      <c r="K32" s="21" t="s">
        <v>1237</v>
      </c>
      <c r="L32" s="21" t="s">
        <v>512</v>
      </c>
      <c r="M32" s="21" t="s">
        <v>512</v>
      </c>
    </row>
    <row r="33" spans="1:13" ht="36.6" x14ac:dyDescent="0.3">
      <c r="A33" s="21"/>
      <c r="B33" s="21"/>
      <c r="C33" s="21"/>
      <c r="D33" s="21">
        <v>25</v>
      </c>
      <c r="E33" s="20" t="s">
        <v>1100</v>
      </c>
      <c r="F33" s="20" t="s">
        <v>803</v>
      </c>
      <c r="G33" s="20" t="s">
        <v>786</v>
      </c>
      <c r="H33" s="20" t="s">
        <v>13</v>
      </c>
      <c r="I33" s="20" t="s">
        <v>84</v>
      </c>
      <c r="J33" s="20"/>
      <c r="K33" s="6"/>
      <c r="L33" s="21" t="s">
        <v>255</v>
      </c>
      <c r="M33" s="21" t="s">
        <v>256</v>
      </c>
    </row>
    <row r="34" spans="1:13" ht="24.6" x14ac:dyDescent="0.3">
      <c r="A34" s="21"/>
      <c r="B34" s="21"/>
      <c r="C34" s="21"/>
      <c r="D34" s="21">
        <v>26</v>
      </c>
      <c r="E34" s="20" t="s">
        <v>1101</v>
      </c>
      <c r="F34" s="20" t="s">
        <v>757</v>
      </c>
      <c r="G34" s="20" t="s">
        <v>769</v>
      </c>
      <c r="H34" s="20" t="s">
        <v>13</v>
      </c>
      <c r="I34" s="20" t="s">
        <v>84</v>
      </c>
      <c r="J34" s="20"/>
      <c r="K34" s="6"/>
      <c r="L34" s="21" t="s">
        <v>257</v>
      </c>
      <c r="M34" s="21" t="s">
        <v>258</v>
      </c>
    </row>
    <row r="35" spans="1:13" x14ac:dyDescent="0.3">
      <c r="A35" s="21"/>
      <c r="B35" s="21"/>
      <c r="C35" s="21"/>
      <c r="D35" s="21">
        <v>27</v>
      </c>
      <c r="E35" s="20" t="s">
        <v>685</v>
      </c>
      <c r="F35" s="20" t="s">
        <v>900</v>
      </c>
      <c r="G35" s="20" t="s">
        <v>902</v>
      </c>
      <c r="H35" s="29" t="s">
        <v>1287</v>
      </c>
      <c r="I35" s="21" t="s">
        <v>84</v>
      </c>
      <c r="J35" s="21" t="s">
        <v>1301</v>
      </c>
      <c r="K35" s="6"/>
      <c r="L35" s="21" t="s">
        <v>816</v>
      </c>
      <c r="M35" s="21" t="s">
        <v>259</v>
      </c>
    </row>
    <row r="36" spans="1:13" s="13" customFormat="1" x14ac:dyDescent="0.3">
      <c r="A36" s="21"/>
      <c r="B36" s="21"/>
      <c r="C36" s="21"/>
      <c r="D36" s="21">
        <v>28</v>
      </c>
      <c r="E36" s="20" t="s">
        <v>686</v>
      </c>
      <c r="F36" s="20" t="s">
        <v>901</v>
      </c>
      <c r="G36" s="21" t="s">
        <v>903</v>
      </c>
      <c r="H36" s="29" t="s">
        <v>1287</v>
      </c>
      <c r="I36" s="21" t="s">
        <v>84</v>
      </c>
      <c r="J36" s="2" t="s">
        <v>1301</v>
      </c>
      <c r="K36" s="6"/>
      <c r="L36" s="21" t="s">
        <v>817</v>
      </c>
      <c r="M36" s="21"/>
    </row>
    <row r="37" spans="1:13" s="28" customFormat="1" ht="24.6" x14ac:dyDescent="0.3">
      <c r="A37" s="21"/>
      <c r="B37" s="21"/>
      <c r="C37" s="21"/>
      <c r="D37" s="21">
        <v>29</v>
      </c>
      <c r="E37" s="20" t="s">
        <v>676</v>
      </c>
      <c r="F37" s="20" t="s">
        <v>839</v>
      </c>
      <c r="G37" s="20" t="s">
        <v>840</v>
      </c>
      <c r="H37" s="21" t="s">
        <v>10</v>
      </c>
      <c r="I37" s="20" t="s">
        <v>93</v>
      </c>
      <c r="J37" s="20" t="s">
        <v>14</v>
      </c>
      <c r="K37" s="21" t="s">
        <v>1231</v>
      </c>
      <c r="L37" s="21" t="s">
        <v>682</v>
      </c>
      <c r="M37" s="20"/>
    </row>
    <row r="38" spans="1:13" ht="24.6" x14ac:dyDescent="0.3">
      <c r="A38" s="21"/>
      <c r="B38" s="21"/>
      <c r="C38" s="21"/>
      <c r="D38" s="21">
        <v>30</v>
      </c>
      <c r="E38" s="21" t="s">
        <v>244</v>
      </c>
      <c r="F38" s="21" t="s">
        <v>277</v>
      </c>
      <c r="G38" s="21" t="s">
        <v>286</v>
      </c>
      <c r="H38" s="21" t="s">
        <v>10</v>
      </c>
      <c r="I38" s="21" t="s">
        <v>84</v>
      </c>
      <c r="J38" s="21" t="s">
        <v>14</v>
      </c>
      <c r="K38" s="6" t="s">
        <v>1233</v>
      </c>
      <c r="L38" s="21" t="s">
        <v>244</v>
      </c>
      <c r="M38" s="21" t="s">
        <v>244</v>
      </c>
    </row>
    <row r="39" spans="1:13" ht="24.6" x14ac:dyDescent="0.3">
      <c r="A39" s="21"/>
      <c r="B39" s="21"/>
      <c r="C39" s="21"/>
      <c r="D39" s="21">
        <v>31</v>
      </c>
      <c r="E39" s="21" t="s">
        <v>1307</v>
      </c>
      <c r="F39" s="21" t="s">
        <v>1313</v>
      </c>
      <c r="G39" s="20" t="s">
        <v>1324</v>
      </c>
      <c r="H39" s="21" t="s">
        <v>10</v>
      </c>
      <c r="I39" s="21" t="s">
        <v>1309</v>
      </c>
      <c r="J39" s="21" t="s">
        <v>14</v>
      </c>
      <c r="K39" s="21" t="s">
        <v>1231</v>
      </c>
      <c r="L39" s="21" t="s">
        <v>1308</v>
      </c>
      <c r="M39" s="21" t="s">
        <v>1308</v>
      </c>
    </row>
    <row r="40" spans="1:13" ht="36.6" x14ac:dyDescent="0.3">
      <c r="A40" s="21"/>
      <c r="B40" s="21"/>
      <c r="C40" s="21"/>
      <c r="D40" s="21">
        <v>32</v>
      </c>
      <c r="E40" s="21" t="s">
        <v>1328</v>
      </c>
      <c r="F40" s="46" t="s">
        <v>1376</v>
      </c>
      <c r="G40" s="21" t="s">
        <v>1377</v>
      </c>
      <c r="H40" s="21" t="s">
        <v>1295</v>
      </c>
      <c r="I40" s="21" t="s">
        <v>84</v>
      </c>
      <c r="J40" s="21"/>
      <c r="K40" s="21"/>
      <c r="L40" s="21" t="s">
        <v>1329</v>
      </c>
      <c r="M40" s="21" t="s">
        <v>1330</v>
      </c>
    </row>
    <row r="41" spans="1:13" ht="36.6" x14ac:dyDescent="0.3">
      <c r="A41" s="21"/>
      <c r="B41" s="21"/>
      <c r="C41" s="21"/>
      <c r="D41" s="21">
        <v>33</v>
      </c>
      <c r="E41" s="21" t="s">
        <v>1331</v>
      </c>
      <c r="F41" s="46" t="s">
        <v>1378</v>
      </c>
      <c r="G41" s="21" t="s">
        <v>1379</v>
      </c>
      <c r="H41" s="21" t="s">
        <v>1295</v>
      </c>
      <c r="I41" s="21" t="s">
        <v>84</v>
      </c>
      <c r="J41" s="21"/>
      <c r="K41" s="21"/>
      <c r="L41" s="21" t="s">
        <v>1332</v>
      </c>
      <c r="M41" s="21" t="s">
        <v>1333</v>
      </c>
    </row>
    <row r="42" spans="1:13" ht="36.6" x14ac:dyDescent="0.3">
      <c r="A42" s="21"/>
      <c r="B42" s="21"/>
      <c r="C42" s="21"/>
      <c r="D42" s="21">
        <v>34</v>
      </c>
      <c r="E42" s="21" t="s">
        <v>1334</v>
      </c>
      <c r="F42" s="46" t="s">
        <v>1380</v>
      </c>
      <c r="G42" s="21" t="s">
        <v>1381</v>
      </c>
      <c r="H42" s="21" t="s">
        <v>10</v>
      </c>
      <c r="I42" s="21" t="s">
        <v>84</v>
      </c>
      <c r="J42" s="21" t="s">
        <v>1335</v>
      </c>
      <c r="K42" s="21" t="s">
        <v>1336</v>
      </c>
      <c r="L42" s="21" t="s">
        <v>1337</v>
      </c>
      <c r="M42" s="21" t="s">
        <v>1338</v>
      </c>
    </row>
    <row r="43" spans="1:13" ht="48" x14ac:dyDescent="0.3">
      <c r="A43" s="21"/>
      <c r="B43" s="21"/>
      <c r="C43" s="21"/>
      <c r="D43" s="21">
        <v>35</v>
      </c>
      <c r="E43" s="21" t="s">
        <v>1339</v>
      </c>
      <c r="F43" s="46" t="s">
        <v>1382</v>
      </c>
      <c r="G43" s="21" t="s">
        <v>1383</v>
      </c>
      <c r="H43" s="21" t="s">
        <v>10</v>
      </c>
      <c r="I43" s="21" t="s">
        <v>84</v>
      </c>
      <c r="J43" s="21" t="s">
        <v>14</v>
      </c>
      <c r="K43" s="29" t="s">
        <v>1341</v>
      </c>
      <c r="L43" s="21" t="s">
        <v>1342</v>
      </c>
      <c r="M43" s="21" t="s">
        <v>1340</v>
      </c>
    </row>
  </sheetData>
  <conditionalFormatting sqref="E1:G1">
    <cfRule type="duplicateValues" dxfId="0"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0"/>
  <sheetViews>
    <sheetView zoomScale="80" zoomScaleNormal="80" workbookViewId="0">
      <pane ySplit="1" topLeftCell="A2" activePane="bottomLeft" state="frozen"/>
      <selection pane="bottomLeft" activeCell="K70" sqref="K70"/>
    </sheetView>
  </sheetViews>
  <sheetFormatPr defaultColWidth="20.21875" defaultRowHeight="14.4" x14ac:dyDescent="0.3"/>
  <cols>
    <col min="1" max="1" width="6.21875" bestFit="1" customWidth="1"/>
    <col min="2" max="2" width="8.21875" customWidth="1"/>
    <col min="3" max="3" width="17.77734375" customWidth="1"/>
    <col min="4" max="4" width="8.21875" customWidth="1"/>
    <col min="5" max="5" width="27.77734375" bestFit="1" customWidth="1"/>
    <col min="6" max="6" width="27.77734375" customWidth="1"/>
    <col min="7" max="7" width="16.77734375" customWidth="1"/>
    <col min="8" max="8" width="11" customWidth="1"/>
    <col min="9" max="9" width="9.44140625" customWidth="1"/>
    <col min="10" max="10" width="20.77734375" customWidth="1"/>
    <col min="11" max="11" width="29.21875" style="7" customWidth="1"/>
    <col min="12" max="12" width="59.21875" style="7" customWidth="1"/>
    <col min="13" max="13" width="57.21875" style="7"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5" t="s">
        <v>12</v>
      </c>
      <c r="B2" s="5" t="s">
        <v>57</v>
      </c>
      <c r="C2" s="5"/>
      <c r="D2" s="6" t="s">
        <v>849</v>
      </c>
      <c r="E2" s="5" t="s">
        <v>96</v>
      </c>
      <c r="F2" s="5" t="s">
        <v>384</v>
      </c>
      <c r="G2" s="5" t="s">
        <v>384</v>
      </c>
      <c r="H2" s="5" t="s">
        <v>13</v>
      </c>
      <c r="I2" s="5" t="s">
        <v>11</v>
      </c>
      <c r="J2" s="5"/>
      <c r="K2" s="6"/>
      <c r="L2" s="6" t="s">
        <v>620</v>
      </c>
      <c r="M2" s="6" t="s">
        <v>620</v>
      </c>
    </row>
    <row r="3" spans="1:13" ht="24.6" x14ac:dyDescent="0.3">
      <c r="A3" s="5" t="s">
        <v>12</v>
      </c>
      <c r="B3" s="5" t="s">
        <v>1</v>
      </c>
      <c r="C3" s="5" t="s">
        <v>214</v>
      </c>
      <c r="D3" s="6" t="s">
        <v>849</v>
      </c>
      <c r="E3" s="5" t="s">
        <v>230</v>
      </c>
      <c r="F3" s="5" t="s">
        <v>264</v>
      </c>
      <c r="G3" s="5" t="s">
        <v>264</v>
      </c>
      <c r="H3" s="5" t="s">
        <v>13</v>
      </c>
      <c r="I3" s="6" t="s">
        <v>86</v>
      </c>
      <c r="J3" s="5"/>
      <c r="K3" s="6"/>
      <c r="L3" s="6" t="s">
        <v>623</v>
      </c>
      <c r="M3" s="6" t="s">
        <v>621</v>
      </c>
    </row>
    <row r="4" spans="1:13" ht="24.6" x14ac:dyDescent="0.3">
      <c r="A4" s="6" t="s">
        <v>12</v>
      </c>
      <c r="B4" s="6" t="s">
        <v>1</v>
      </c>
      <c r="C4" s="6"/>
      <c r="D4" s="6" t="s">
        <v>849</v>
      </c>
      <c r="E4" s="5" t="s">
        <v>705</v>
      </c>
      <c r="F4" s="5" t="s">
        <v>298</v>
      </c>
      <c r="G4" s="5" t="s">
        <v>298</v>
      </c>
      <c r="H4" s="5" t="s">
        <v>13</v>
      </c>
      <c r="I4" s="5" t="s">
        <v>86</v>
      </c>
      <c r="J4" s="5"/>
      <c r="K4" s="6"/>
      <c r="L4" s="5" t="s">
        <v>706</v>
      </c>
      <c r="M4" s="6" t="s">
        <v>622</v>
      </c>
    </row>
    <row r="5" spans="1:13" x14ac:dyDescent="0.3">
      <c r="A5" s="5"/>
      <c r="B5" s="5"/>
      <c r="C5" s="5"/>
      <c r="D5" s="20">
        <v>1</v>
      </c>
      <c r="E5" s="20" t="s">
        <v>9</v>
      </c>
      <c r="F5" s="21" t="s">
        <v>364</v>
      </c>
      <c r="G5" s="21" t="s">
        <v>366</v>
      </c>
      <c r="H5" s="20" t="s">
        <v>10</v>
      </c>
      <c r="I5" s="20" t="s">
        <v>11</v>
      </c>
      <c r="J5" s="20"/>
      <c r="K5" s="21"/>
      <c r="L5" s="21" t="s">
        <v>127</v>
      </c>
      <c r="M5" s="21" t="s">
        <v>127</v>
      </c>
    </row>
    <row r="6" spans="1:13" ht="24.6" x14ac:dyDescent="0.3">
      <c r="A6" s="5"/>
      <c r="B6" s="5"/>
      <c r="C6" s="5"/>
      <c r="D6" s="20">
        <v>2</v>
      </c>
      <c r="E6" s="20" t="s">
        <v>246</v>
      </c>
      <c r="F6" s="20" t="s">
        <v>365</v>
      </c>
      <c r="G6" s="20" t="s">
        <v>365</v>
      </c>
      <c r="H6" s="20" t="s">
        <v>247</v>
      </c>
      <c r="I6" s="20" t="s">
        <v>93</v>
      </c>
      <c r="J6" s="21" t="s">
        <v>14</v>
      </c>
      <c r="K6" s="21" t="s">
        <v>1231</v>
      </c>
      <c r="L6" s="21" t="s">
        <v>1019</v>
      </c>
      <c r="M6" s="21" t="s">
        <v>1020</v>
      </c>
    </row>
    <row r="7" spans="1:13" ht="36.6" x14ac:dyDescent="0.3">
      <c r="A7" s="5"/>
      <c r="B7" s="5"/>
      <c r="C7" s="6" t="s">
        <v>214</v>
      </c>
      <c r="D7" s="20">
        <v>3</v>
      </c>
      <c r="E7" s="21" t="s">
        <v>631</v>
      </c>
      <c r="F7" s="21" t="s">
        <v>638</v>
      </c>
      <c r="G7" s="21" t="s">
        <v>639</v>
      </c>
      <c r="H7" s="21" t="s">
        <v>13</v>
      </c>
      <c r="I7" s="21" t="s">
        <v>11</v>
      </c>
      <c r="J7" s="21"/>
      <c r="K7" s="21"/>
      <c r="L7" s="21" t="s">
        <v>650</v>
      </c>
      <c r="M7" s="21"/>
    </row>
    <row r="8" spans="1:13" ht="24.6" x14ac:dyDescent="0.3">
      <c r="A8" s="5"/>
      <c r="B8" s="5"/>
      <c r="C8" s="5"/>
      <c r="D8" s="20">
        <v>4</v>
      </c>
      <c r="E8" s="20" t="s">
        <v>1110</v>
      </c>
      <c r="F8" s="21" t="s">
        <v>740</v>
      </c>
      <c r="G8" s="21" t="s">
        <v>740</v>
      </c>
      <c r="H8" s="21" t="s">
        <v>10</v>
      </c>
      <c r="I8" s="20" t="s">
        <v>93</v>
      </c>
      <c r="J8" s="20"/>
      <c r="K8" s="21"/>
      <c r="L8" s="21" t="s">
        <v>1173</v>
      </c>
      <c r="M8" s="21" t="s">
        <v>116</v>
      </c>
    </row>
    <row r="9" spans="1:13" ht="24.6" x14ac:dyDescent="0.3">
      <c r="A9" s="5"/>
      <c r="B9" s="5"/>
      <c r="C9" s="5"/>
      <c r="D9" s="20">
        <v>5</v>
      </c>
      <c r="E9" s="20" t="s">
        <v>250</v>
      </c>
      <c r="F9" s="20" t="s">
        <v>344</v>
      </c>
      <c r="G9" s="20" t="s">
        <v>344</v>
      </c>
      <c r="H9" s="21" t="s">
        <v>10</v>
      </c>
      <c r="I9" s="20" t="s">
        <v>93</v>
      </c>
      <c r="J9" s="21" t="s">
        <v>14</v>
      </c>
      <c r="K9" s="21" t="s">
        <v>1235</v>
      </c>
      <c r="L9" s="21" t="s">
        <v>251</v>
      </c>
      <c r="M9" s="21" t="s">
        <v>252</v>
      </c>
    </row>
    <row r="10" spans="1:13" x14ac:dyDescent="0.3">
      <c r="A10" s="5"/>
      <c r="B10" s="5"/>
      <c r="C10" s="5"/>
      <c r="D10" s="20">
        <v>6</v>
      </c>
      <c r="E10" s="20" t="s">
        <v>1090</v>
      </c>
      <c r="F10" s="20" t="s">
        <v>345</v>
      </c>
      <c r="G10" s="20" t="s">
        <v>345</v>
      </c>
      <c r="H10" s="21" t="s">
        <v>10</v>
      </c>
      <c r="I10" s="20" t="s">
        <v>93</v>
      </c>
      <c r="J10" s="20"/>
      <c r="K10" s="21"/>
      <c r="L10" s="21" t="s">
        <v>535</v>
      </c>
      <c r="M10" s="21" t="s">
        <v>254</v>
      </c>
    </row>
    <row r="11" spans="1:13" ht="24.6" x14ac:dyDescent="0.3">
      <c r="A11" s="5"/>
      <c r="B11" s="5"/>
      <c r="C11" s="5"/>
      <c r="D11" s="20">
        <v>7</v>
      </c>
      <c r="E11" s="21" t="s">
        <v>245</v>
      </c>
      <c r="F11" s="21" t="s">
        <v>346</v>
      </c>
      <c r="G11" s="21" t="s">
        <v>346</v>
      </c>
      <c r="H11" s="21" t="s">
        <v>10</v>
      </c>
      <c r="I11" s="21" t="s">
        <v>17</v>
      </c>
      <c r="J11" s="21" t="s">
        <v>14</v>
      </c>
      <c r="K11" s="21" t="s">
        <v>1236</v>
      </c>
      <c r="L11" s="21" t="s">
        <v>814</v>
      </c>
      <c r="M11" s="21" t="s">
        <v>602</v>
      </c>
    </row>
    <row r="12" spans="1:13" ht="36.6" x14ac:dyDescent="0.3">
      <c r="A12" s="5"/>
      <c r="B12" s="5"/>
      <c r="C12" s="5"/>
      <c r="D12" s="20">
        <v>8</v>
      </c>
      <c r="E12" s="20" t="s">
        <v>54</v>
      </c>
      <c r="F12" s="20" t="s">
        <v>431</v>
      </c>
      <c r="G12" s="20" t="s">
        <v>432</v>
      </c>
      <c r="H12" s="20" t="s">
        <v>10</v>
      </c>
      <c r="I12" s="20" t="s">
        <v>11</v>
      </c>
      <c r="J12" s="20" t="s">
        <v>14</v>
      </c>
      <c r="K12" s="21" t="s">
        <v>1243</v>
      </c>
      <c r="L12" s="21" t="s">
        <v>68</v>
      </c>
      <c r="M12" s="21" t="s">
        <v>129</v>
      </c>
    </row>
    <row r="13" spans="1:13" ht="36.6" x14ac:dyDescent="0.3">
      <c r="A13" s="5"/>
      <c r="B13" s="5"/>
      <c r="C13" s="5"/>
      <c r="D13" s="20">
        <v>9</v>
      </c>
      <c r="E13" s="20" t="s">
        <v>25</v>
      </c>
      <c r="F13" s="20" t="s">
        <v>433</v>
      </c>
      <c r="G13" s="20" t="s">
        <v>434</v>
      </c>
      <c r="H13" s="20" t="s">
        <v>10</v>
      </c>
      <c r="I13" s="20" t="s">
        <v>11</v>
      </c>
      <c r="J13" s="20" t="s">
        <v>14</v>
      </c>
      <c r="K13" s="21" t="s">
        <v>1244</v>
      </c>
      <c r="L13" s="21" t="s">
        <v>130</v>
      </c>
      <c r="M13" s="21" t="s">
        <v>128</v>
      </c>
    </row>
    <row r="14" spans="1:13" ht="60.6" x14ac:dyDescent="0.3">
      <c r="A14" s="5"/>
      <c r="B14" s="5"/>
      <c r="C14" s="5"/>
      <c r="D14" s="20">
        <v>10</v>
      </c>
      <c r="E14" s="20" t="s">
        <v>26</v>
      </c>
      <c r="F14" s="20" t="s">
        <v>435</v>
      </c>
      <c r="G14" s="20" t="s">
        <v>436</v>
      </c>
      <c r="H14" s="20" t="s">
        <v>10</v>
      </c>
      <c r="I14" s="20" t="s">
        <v>11</v>
      </c>
      <c r="J14" s="20" t="s">
        <v>14</v>
      </c>
      <c r="K14" s="21" t="s">
        <v>1245</v>
      </c>
      <c r="L14" s="21" t="s">
        <v>671</v>
      </c>
      <c r="M14" s="21" t="s">
        <v>468</v>
      </c>
    </row>
    <row r="15" spans="1:13" ht="24.6" x14ac:dyDescent="0.3">
      <c r="A15" s="5"/>
      <c r="B15" s="5"/>
      <c r="C15" s="5"/>
      <c r="D15" s="20">
        <v>11</v>
      </c>
      <c r="E15" s="20" t="s">
        <v>1102</v>
      </c>
      <c r="F15" s="20" t="s">
        <v>437</v>
      </c>
      <c r="G15" s="20" t="s">
        <v>437</v>
      </c>
      <c r="H15" s="21" t="s">
        <v>10</v>
      </c>
      <c r="I15" s="21" t="s">
        <v>614</v>
      </c>
      <c r="J15" s="20"/>
      <c r="K15" s="21"/>
      <c r="L15" s="21" t="s">
        <v>1027</v>
      </c>
      <c r="M15" s="21" t="s">
        <v>1027</v>
      </c>
    </row>
    <row r="16" spans="1:13" ht="24.6" x14ac:dyDescent="0.3">
      <c r="A16" s="5"/>
      <c r="B16" s="5"/>
      <c r="C16" s="5"/>
      <c r="D16" s="20">
        <v>12</v>
      </c>
      <c r="E16" s="20" t="s">
        <v>1103</v>
      </c>
      <c r="F16" s="20" t="s">
        <v>438</v>
      </c>
      <c r="G16" s="20" t="s">
        <v>438</v>
      </c>
      <c r="H16" s="20" t="s">
        <v>10</v>
      </c>
      <c r="I16" s="20" t="s">
        <v>17</v>
      </c>
      <c r="J16" s="20"/>
      <c r="K16" s="21"/>
      <c r="L16" s="21" t="s">
        <v>1028</v>
      </c>
      <c r="M16" s="21" t="s">
        <v>1028</v>
      </c>
    </row>
    <row r="17" spans="1:13" ht="36.6" x14ac:dyDescent="0.3">
      <c r="A17" s="5"/>
      <c r="B17" s="5"/>
      <c r="C17" s="5"/>
      <c r="D17" s="20">
        <v>13</v>
      </c>
      <c r="E17" s="20" t="s">
        <v>1104</v>
      </c>
      <c r="F17" s="20" t="s">
        <v>439</v>
      </c>
      <c r="G17" s="20" t="s">
        <v>439</v>
      </c>
      <c r="H17" s="21" t="s">
        <v>10</v>
      </c>
      <c r="I17" s="20" t="s">
        <v>11</v>
      </c>
      <c r="J17" s="20"/>
      <c r="K17" s="21"/>
      <c r="L17" s="21" t="s">
        <v>1184</v>
      </c>
      <c r="M17" s="21" t="s">
        <v>1184</v>
      </c>
    </row>
    <row r="18" spans="1:13" ht="36.6" x14ac:dyDescent="0.3">
      <c r="A18" s="5"/>
      <c r="B18" s="5"/>
      <c r="C18" s="5"/>
      <c r="D18" s="20">
        <v>14</v>
      </c>
      <c r="E18" s="20" t="s">
        <v>1105</v>
      </c>
      <c r="F18" s="20" t="s">
        <v>440</v>
      </c>
      <c r="G18" s="20" t="s">
        <v>440</v>
      </c>
      <c r="H18" s="21" t="s">
        <v>10</v>
      </c>
      <c r="I18" s="21" t="s">
        <v>86</v>
      </c>
      <c r="J18" s="20"/>
      <c r="K18" s="21"/>
      <c r="L18" s="21" t="s">
        <v>1185</v>
      </c>
      <c r="M18" s="21" t="s">
        <v>1185</v>
      </c>
    </row>
    <row r="19" spans="1:13" ht="24.6" x14ac:dyDescent="0.3">
      <c r="A19" s="5"/>
      <c r="B19" s="5"/>
      <c r="C19" s="5"/>
      <c r="D19" s="20">
        <v>15</v>
      </c>
      <c r="E19" s="20" t="s">
        <v>28</v>
      </c>
      <c r="F19" s="20" t="s">
        <v>441</v>
      </c>
      <c r="G19" s="20" t="s">
        <v>442</v>
      </c>
      <c r="H19" s="20" t="s">
        <v>13</v>
      </c>
      <c r="I19" s="20" t="s">
        <v>86</v>
      </c>
      <c r="J19" s="20"/>
      <c r="K19" s="21"/>
      <c r="L19" s="21" t="s">
        <v>1186</v>
      </c>
      <c r="M19" s="21" t="s">
        <v>1187</v>
      </c>
    </row>
    <row r="20" spans="1:13" ht="36.6" x14ac:dyDescent="0.3">
      <c r="A20" s="5"/>
      <c r="B20" s="5"/>
      <c r="C20" s="5"/>
      <c r="D20" s="20">
        <v>16</v>
      </c>
      <c r="E20" s="20" t="s">
        <v>1448</v>
      </c>
      <c r="F20" s="20" t="s">
        <v>1499</v>
      </c>
      <c r="G20" s="20" t="s">
        <v>1513</v>
      </c>
      <c r="H20" s="20" t="s">
        <v>10</v>
      </c>
      <c r="I20" s="20" t="s">
        <v>11</v>
      </c>
      <c r="J20" s="20" t="s">
        <v>14</v>
      </c>
      <c r="K20" s="58" t="s">
        <v>1450</v>
      </c>
      <c r="L20" s="21" t="s">
        <v>1493</v>
      </c>
      <c r="M20" s="21" t="s">
        <v>1493</v>
      </c>
    </row>
    <row r="21" spans="1:13" ht="71.55" customHeight="1" x14ac:dyDescent="0.3">
      <c r="A21" s="5"/>
      <c r="B21" s="5"/>
      <c r="C21" s="5"/>
      <c r="D21" s="20">
        <v>17</v>
      </c>
      <c r="E21" s="20" t="s">
        <v>1021</v>
      </c>
      <c r="F21" s="20" t="s">
        <v>1022</v>
      </c>
      <c r="G21" s="20" t="s">
        <v>1512</v>
      </c>
      <c r="H21" s="20" t="s">
        <v>10</v>
      </c>
      <c r="I21" s="21" t="s">
        <v>11</v>
      </c>
      <c r="J21" s="20" t="s">
        <v>14</v>
      </c>
      <c r="K21" s="58" t="s">
        <v>1449</v>
      </c>
      <c r="L21" s="6" t="s">
        <v>1511</v>
      </c>
      <c r="M21" s="21" t="s">
        <v>1504</v>
      </c>
    </row>
    <row r="22" spans="1:13" ht="84.6" x14ac:dyDescent="0.3">
      <c r="A22" s="5"/>
      <c r="B22" s="5"/>
      <c r="C22" s="5"/>
      <c r="D22" s="20">
        <v>18</v>
      </c>
      <c r="E22" s="20" t="s">
        <v>1023</v>
      </c>
      <c r="F22" s="20" t="s">
        <v>1024</v>
      </c>
      <c r="G22" s="20" t="s">
        <v>1025</v>
      </c>
      <c r="H22" s="20" t="s">
        <v>13</v>
      </c>
      <c r="I22" s="21" t="s">
        <v>17</v>
      </c>
      <c r="J22" s="20"/>
      <c r="K22" s="21"/>
      <c r="L22" s="21" t="s">
        <v>1026</v>
      </c>
      <c r="M22" s="21" t="s">
        <v>1505</v>
      </c>
    </row>
    <row r="23" spans="1:13" x14ac:dyDescent="0.3">
      <c r="A23" s="5"/>
      <c r="B23" s="5"/>
      <c r="C23" s="5"/>
      <c r="D23" s="20">
        <v>19</v>
      </c>
      <c r="E23" s="21" t="s">
        <v>447</v>
      </c>
      <c r="F23" s="20" t="s">
        <v>443</v>
      </c>
      <c r="G23" s="20" t="s">
        <v>443</v>
      </c>
      <c r="H23" s="20" t="s">
        <v>1288</v>
      </c>
      <c r="I23" s="21" t="s">
        <v>17</v>
      </c>
      <c r="J23" s="52" t="s">
        <v>1290</v>
      </c>
      <c r="K23" s="21"/>
      <c r="L23" s="21" t="s">
        <v>978</v>
      </c>
      <c r="M23" s="21" t="s">
        <v>69</v>
      </c>
    </row>
    <row r="24" spans="1:13" x14ac:dyDescent="0.3">
      <c r="A24" s="5"/>
      <c r="B24" s="5"/>
      <c r="C24" s="5"/>
      <c r="D24" s="20">
        <v>20</v>
      </c>
      <c r="E24" s="21" t="s">
        <v>448</v>
      </c>
      <c r="F24" s="20" t="s">
        <v>444</v>
      </c>
      <c r="G24" s="20" t="s">
        <v>444</v>
      </c>
      <c r="H24" s="20" t="s">
        <v>1288</v>
      </c>
      <c r="I24" s="21" t="s">
        <v>17</v>
      </c>
      <c r="J24" s="53" t="s">
        <v>1289</v>
      </c>
      <c r="K24" s="21"/>
      <c r="L24" s="21" t="s">
        <v>979</v>
      </c>
      <c r="M24" s="21" t="s">
        <v>70</v>
      </c>
    </row>
    <row r="25" spans="1:13" ht="24.6" x14ac:dyDescent="0.3">
      <c r="A25" s="5"/>
      <c r="B25" s="5"/>
      <c r="C25" s="5"/>
      <c r="D25" s="20">
        <v>21</v>
      </c>
      <c r="E25" s="21" t="s">
        <v>449</v>
      </c>
      <c r="F25" s="20" t="s">
        <v>445</v>
      </c>
      <c r="G25" s="20" t="s">
        <v>445</v>
      </c>
      <c r="H25" s="20" t="s">
        <v>1288</v>
      </c>
      <c r="I25" s="21" t="s">
        <v>17</v>
      </c>
      <c r="J25" s="52" t="s">
        <v>1290</v>
      </c>
      <c r="K25" s="21"/>
      <c r="L25" s="21" t="s">
        <v>980</v>
      </c>
      <c r="M25" s="21" t="s">
        <v>71</v>
      </c>
    </row>
    <row r="26" spans="1:13" x14ac:dyDescent="0.3">
      <c r="A26" s="5"/>
      <c r="B26" s="5"/>
      <c r="C26" s="5"/>
      <c r="D26" s="20">
        <v>22</v>
      </c>
      <c r="E26" s="21" t="s">
        <v>450</v>
      </c>
      <c r="F26" s="20" t="s">
        <v>446</v>
      </c>
      <c r="G26" s="20" t="s">
        <v>446</v>
      </c>
      <c r="H26" s="20" t="s">
        <v>1288</v>
      </c>
      <c r="I26" s="21" t="s">
        <v>17</v>
      </c>
      <c r="J26" s="53" t="s">
        <v>1289</v>
      </c>
      <c r="K26" s="21"/>
      <c r="L26" s="21" t="s">
        <v>981</v>
      </c>
      <c r="M26" s="21" t="s">
        <v>72</v>
      </c>
    </row>
    <row r="27" spans="1:13" ht="40.950000000000003" customHeight="1" x14ac:dyDescent="0.3">
      <c r="A27" s="5"/>
      <c r="B27" s="5"/>
      <c r="C27" s="5"/>
      <c r="D27" s="20">
        <v>23</v>
      </c>
      <c r="E27" s="20" t="s">
        <v>1106</v>
      </c>
      <c r="F27" s="20" t="s">
        <v>845</v>
      </c>
      <c r="G27" s="20" t="s">
        <v>846</v>
      </c>
      <c r="H27" s="20" t="s">
        <v>10</v>
      </c>
      <c r="I27" s="20" t="s">
        <v>17</v>
      </c>
      <c r="J27" s="20" t="s">
        <v>14</v>
      </c>
      <c r="K27" s="21" t="s">
        <v>1439</v>
      </c>
      <c r="L27" s="21" t="s">
        <v>847</v>
      </c>
      <c r="M27" s="21" t="s">
        <v>821</v>
      </c>
    </row>
    <row r="28" spans="1:13" ht="72.599999999999994" x14ac:dyDescent="0.3">
      <c r="A28" s="5"/>
      <c r="B28" s="5"/>
      <c r="C28" s="5"/>
      <c r="D28" s="20">
        <v>24</v>
      </c>
      <c r="E28" s="20" t="s">
        <v>29</v>
      </c>
      <c r="F28" s="20" t="s">
        <v>451</v>
      </c>
      <c r="G28" s="20" t="s">
        <v>451</v>
      </c>
      <c r="H28" s="20" t="s">
        <v>10</v>
      </c>
      <c r="I28" s="20" t="s">
        <v>11</v>
      </c>
      <c r="J28" s="20" t="s">
        <v>14</v>
      </c>
      <c r="K28" s="21" t="s">
        <v>1246</v>
      </c>
      <c r="L28" s="21" t="s">
        <v>1442</v>
      </c>
      <c r="M28" s="21" t="s">
        <v>180</v>
      </c>
    </row>
    <row r="29" spans="1:13" ht="84.6" x14ac:dyDescent="0.3">
      <c r="A29" s="5"/>
      <c r="B29" s="5"/>
      <c r="C29" s="5"/>
      <c r="D29" s="20">
        <v>25</v>
      </c>
      <c r="E29" s="20" t="s">
        <v>30</v>
      </c>
      <c r="F29" s="20" t="s">
        <v>452</v>
      </c>
      <c r="G29" s="20" t="s">
        <v>453</v>
      </c>
      <c r="H29" s="20" t="s">
        <v>10</v>
      </c>
      <c r="I29" s="20" t="s">
        <v>17</v>
      </c>
      <c r="J29" s="20" t="s">
        <v>14</v>
      </c>
      <c r="K29" s="21" t="s">
        <v>1247</v>
      </c>
      <c r="L29" s="21" t="s">
        <v>1443</v>
      </c>
      <c r="M29" s="21" t="s">
        <v>135</v>
      </c>
    </row>
    <row r="30" spans="1:13" ht="73.05" customHeight="1" x14ac:dyDescent="0.3">
      <c r="A30" s="5"/>
      <c r="B30" s="5"/>
      <c r="C30" s="5"/>
      <c r="D30" s="20">
        <v>26</v>
      </c>
      <c r="E30" s="54" t="s">
        <v>1425</v>
      </c>
      <c r="F30" s="54" t="s">
        <v>1426</v>
      </c>
      <c r="G30" s="54" t="s">
        <v>1427</v>
      </c>
      <c r="H30" s="54" t="s">
        <v>10</v>
      </c>
      <c r="I30" s="54" t="s">
        <v>17</v>
      </c>
      <c r="J30" s="54" t="s">
        <v>14</v>
      </c>
      <c r="K30" s="54" t="s">
        <v>1432</v>
      </c>
      <c r="L30" s="54" t="s">
        <v>1437</v>
      </c>
      <c r="M30" s="29" t="s">
        <v>1438</v>
      </c>
    </row>
    <row r="31" spans="1:13" ht="24.6" x14ac:dyDescent="0.3">
      <c r="A31" s="5"/>
      <c r="B31" s="5"/>
      <c r="C31" s="5"/>
      <c r="D31" s="20">
        <v>27</v>
      </c>
      <c r="E31" s="20" t="s">
        <v>835</v>
      </c>
      <c r="F31" s="20" t="s">
        <v>883</v>
      </c>
      <c r="G31" s="20" t="s">
        <v>883</v>
      </c>
      <c r="H31" s="20" t="s">
        <v>836</v>
      </c>
      <c r="I31" s="20" t="s">
        <v>11</v>
      </c>
      <c r="J31" s="20" t="s">
        <v>14</v>
      </c>
      <c r="K31" s="21" t="s">
        <v>1248</v>
      </c>
      <c r="L31" s="21" t="s">
        <v>994</v>
      </c>
      <c r="M31" s="21" t="s">
        <v>994</v>
      </c>
    </row>
    <row r="32" spans="1:13" ht="29.55" customHeight="1" x14ac:dyDescent="0.3">
      <c r="A32" s="5"/>
      <c r="B32" s="5"/>
      <c r="C32" s="5"/>
      <c r="D32" s="20">
        <v>28</v>
      </c>
      <c r="E32" s="20" t="s">
        <v>827</v>
      </c>
      <c r="F32" s="20" t="s">
        <v>829</v>
      </c>
      <c r="G32" s="20" t="s">
        <v>830</v>
      </c>
      <c r="H32" s="20" t="s">
        <v>10</v>
      </c>
      <c r="I32" s="21" t="s">
        <v>17</v>
      </c>
      <c r="J32" s="20" t="s">
        <v>14</v>
      </c>
      <c r="K32" s="21" t="s">
        <v>1249</v>
      </c>
      <c r="L32" s="21" t="s">
        <v>995</v>
      </c>
      <c r="M32" s="21" t="s">
        <v>995</v>
      </c>
    </row>
    <row r="33" spans="1:13" ht="42.3" customHeight="1" x14ac:dyDescent="0.3">
      <c r="A33" s="5"/>
      <c r="B33" s="5"/>
      <c r="C33" s="5"/>
      <c r="D33" s="20">
        <v>29</v>
      </c>
      <c r="E33" s="20" t="s">
        <v>1451</v>
      </c>
      <c r="F33" s="20" t="s">
        <v>1452</v>
      </c>
      <c r="G33" s="20" t="s">
        <v>1453</v>
      </c>
      <c r="H33" s="20" t="s">
        <v>10</v>
      </c>
      <c r="I33" s="20" t="s">
        <v>17</v>
      </c>
      <c r="J33" s="20" t="s">
        <v>14</v>
      </c>
      <c r="K33" s="58" t="s">
        <v>1450</v>
      </c>
      <c r="L33" s="21" t="s">
        <v>1494</v>
      </c>
      <c r="M33" s="21" t="s">
        <v>1494</v>
      </c>
    </row>
    <row r="34" spans="1:13" ht="96.6" x14ac:dyDescent="0.3">
      <c r="A34" s="5"/>
      <c r="B34" s="5"/>
      <c r="C34" s="5"/>
      <c r="D34" s="20">
        <v>30</v>
      </c>
      <c r="E34" s="20" t="s">
        <v>1454</v>
      </c>
      <c r="F34" s="20" t="s">
        <v>1455</v>
      </c>
      <c r="G34" s="20" t="s">
        <v>1456</v>
      </c>
      <c r="H34" s="20" t="s">
        <v>10</v>
      </c>
      <c r="I34" s="20" t="s">
        <v>17</v>
      </c>
      <c r="J34" s="20" t="s">
        <v>14</v>
      </c>
      <c r="K34" s="58" t="s">
        <v>1449</v>
      </c>
      <c r="L34" s="6" t="s">
        <v>1509</v>
      </c>
      <c r="M34" s="21" t="s">
        <v>1506</v>
      </c>
    </row>
    <row r="35" spans="1:13" ht="24.6" x14ac:dyDescent="0.3">
      <c r="A35" s="5"/>
      <c r="B35" s="5"/>
      <c r="C35" s="5"/>
      <c r="D35" s="20">
        <v>31</v>
      </c>
      <c r="E35" s="20" t="s">
        <v>1188</v>
      </c>
      <c r="F35" s="20" t="s">
        <v>454</v>
      </c>
      <c r="G35" s="20" t="s">
        <v>455</v>
      </c>
      <c r="H35" s="20" t="s">
        <v>13</v>
      </c>
      <c r="I35" s="20" t="s">
        <v>17</v>
      </c>
      <c r="J35" s="20"/>
      <c r="K35" s="21"/>
      <c r="L35" s="21" t="s">
        <v>1079</v>
      </c>
      <c r="M35" s="21" t="s">
        <v>136</v>
      </c>
    </row>
    <row r="36" spans="1:13" ht="24.6" x14ac:dyDescent="0.3">
      <c r="A36" s="5"/>
      <c r="B36" s="5"/>
      <c r="C36" s="5"/>
      <c r="D36" s="20">
        <v>32</v>
      </c>
      <c r="E36" s="20" t="s">
        <v>1189</v>
      </c>
      <c r="F36" s="20" t="s">
        <v>456</v>
      </c>
      <c r="G36" s="20" t="s">
        <v>457</v>
      </c>
      <c r="H36" s="20" t="s">
        <v>13</v>
      </c>
      <c r="I36" s="20" t="s">
        <v>17</v>
      </c>
      <c r="J36" s="20"/>
      <c r="K36" s="21"/>
      <c r="L36" s="21" t="s">
        <v>73</v>
      </c>
      <c r="M36" s="21" t="s">
        <v>137</v>
      </c>
    </row>
    <row r="37" spans="1:13" ht="60.6" x14ac:dyDescent="0.3">
      <c r="A37" s="5"/>
      <c r="B37" s="5"/>
      <c r="C37" s="5"/>
      <c r="D37" s="20">
        <v>33</v>
      </c>
      <c r="E37" s="20" t="s">
        <v>603</v>
      </c>
      <c r="F37" s="20" t="s">
        <v>604</v>
      </c>
      <c r="G37" s="20" t="s">
        <v>605</v>
      </c>
      <c r="H37" s="20" t="s">
        <v>10</v>
      </c>
      <c r="I37" s="20" t="s">
        <v>17</v>
      </c>
      <c r="J37" s="20" t="s">
        <v>14</v>
      </c>
      <c r="K37" s="21" t="s">
        <v>1250</v>
      </c>
      <c r="L37" s="21" t="s">
        <v>996</v>
      </c>
      <c r="M37" s="21" t="s">
        <v>606</v>
      </c>
    </row>
    <row r="38" spans="1:13" ht="24.6" x14ac:dyDescent="0.3">
      <c r="A38" s="5"/>
      <c r="B38" s="5"/>
      <c r="C38" s="5"/>
      <c r="D38" s="20">
        <v>34</v>
      </c>
      <c r="E38" s="20" t="s">
        <v>607</v>
      </c>
      <c r="F38" s="20" t="s">
        <v>458</v>
      </c>
      <c r="G38" s="20" t="s">
        <v>458</v>
      </c>
      <c r="H38" s="20" t="s">
        <v>10</v>
      </c>
      <c r="I38" s="20" t="s">
        <v>17</v>
      </c>
      <c r="J38" s="20" t="s">
        <v>14</v>
      </c>
      <c r="K38" s="21" t="s">
        <v>1251</v>
      </c>
      <c r="L38" s="21" t="s">
        <v>600</v>
      </c>
      <c r="M38" s="21" t="s">
        <v>131</v>
      </c>
    </row>
    <row r="39" spans="1:13" ht="48.6" x14ac:dyDescent="0.3">
      <c r="A39" s="5"/>
      <c r="B39" s="5"/>
      <c r="C39" s="5"/>
      <c r="D39" s="20">
        <v>35</v>
      </c>
      <c r="E39" s="20" t="s">
        <v>608</v>
      </c>
      <c r="F39" s="20" t="s">
        <v>459</v>
      </c>
      <c r="G39" s="20" t="s">
        <v>459</v>
      </c>
      <c r="H39" s="20" t="s">
        <v>10</v>
      </c>
      <c r="I39" s="20" t="s">
        <v>11</v>
      </c>
      <c r="J39" s="20" t="s">
        <v>14</v>
      </c>
      <c r="K39" s="21" t="s">
        <v>1252</v>
      </c>
      <c r="L39" s="21" t="s">
        <v>601</v>
      </c>
      <c r="M39" s="21" t="s">
        <v>132</v>
      </c>
    </row>
    <row r="40" spans="1:13" ht="32.25" customHeight="1" x14ac:dyDescent="0.3">
      <c r="A40" s="5"/>
      <c r="B40" s="5"/>
      <c r="C40" s="5"/>
      <c r="D40" s="20">
        <v>36</v>
      </c>
      <c r="E40" s="20" t="s">
        <v>31</v>
      </c>
      <c r="F40" s="20" t="s">
        <v>460</v>
      </c>
      <c r="G40" s="20" t="s">
        <v>460</v>
      </c>
      <c r="H40" s="20" t="s">
        <v>10</v>
      </c>
      <c r="I40" s="20" t="s">
        <v>11</v>
      </c>
      <c r="J40" s="20" t="s">
        <v>14</v>
      </c>
      <c r="K40" s="21" t="s">
        <v>1253</v>
      </c>
      <c r="L40" s="21" t="s">
        <v>74</v>
      </c>
      <c r="M40" s="21" t="s">
        <v>74</v>
      </c>
    </row>
    <row r="41" spans="1:13" ht="39.75" customHeight="1" x14ac:dyDescent="0.3">
      <c r="A41" s="5"/>
      <c r="B41" s="5"/>
      <c r="C41" s="5"/>
      <c r="D41" s="20">
        <v>37</v>
      </c>
      <c r="E41" s="20" t="s">
        <v>1457</v>
      </c>
      <c r="F41" s="20" t="s">
        <v>1458</v>
      </c>
      <c r="G41" s="20" t="s">
        <v>1459</v>
      </c>
      <c r="H41" s="20" t="s">
        <v>10</v>
      </c>
      <c r="I41" s="21" t="s">
        <v>17</v>
      </c>
      <c r="J41" s="20" t="s">
        <v>14</v>
      </c>
      <c r="K41" s="58" t="s">
        <v>1450</v>
      </c>
      <c r="L41" s="21" t="s">
        <v>1495</v>
      </c>
      <c r="M41" s="21"/>
    </row>
    <row r="42" spans="1:13" ht="97.95" customHeight="1" x14ac:dyDescent="0.3">
      <c r="A42" s="5"/>
      <c r="B42" s="5"/>
      <c r="C42" s="5"/>
      <c r="D42" s="20">
        <v>38</v>
      </c>
      <c r="E42" s="20" t="s">
        <v>1460</v>
      </c>
      <c r="F42" s="20" t="s">
        <v>1461</v>
      </c>
      <c r="G42" s="41" t="s">
        <v>1514</v>
      </c>
      <c r="H42" s="20" t="s">
        <v>10</v>
      </c>
      <c r="I42" s="21" t="s">
        <v>17</v>
      </c>
      <c r="J42" s="20" t="s">
        <v>14</v>
      </c>
      <c r="K42" s="58" t="s">
        <v>1449</v>
      </c>
      <c r="L42" s="21" t="s">
        <v>1510</v>
      </c>
      <c r="M42" s="21"/>
    </row>
    <row r="43" spans="1:13" ht="24.6" x14ac:dyDescent="0.3">
      <c r="A43" s="5"/>
      <c r="B43" s="5"/>
      <c r="C43" s="5"/>
      <c r="D43" s="20">
        <v>39</v>
      </c>
      <c r="E43" s="20" t="s">
        <v>32</v>
      </c>
      <c r="F43" s="20" t="s">
        <v>461</v>
      </c>
      <c r="G43" s="20" t="s">
        <v>461</v>
      </c>
      <c r="H43" s="20" t="s">
        <v>13</v>
      </c>
      <c r="I43" s="21" t="s">
        <v>17</v>
      </c>
      <c r="J43" s="20"/>
      <c r="K43" s="21"/>
      <c r="L43" s="21" t="s">
        <v>973</v>
      </c>
      <c r="M43" s="21" t="s">
        <v>975</v>
      </c>
    </row>
    <row r="44" spans="1:13" ht="60.6" x14ac:dyDescent="0.3">
      <c r="A44" s="5"/>
      <c r="B44" s="5"/>
      <c r="C44" s="5"/>
      <c r="D44" s="20">
        <v>40</v>
      </c>
      <c r="E44" s="20" t="s">
        <v>33</v>
      </c>
      <c r="F44" s="20" t="s">
        <v>462</v>
      </c>
      <c r="G44" s="20" t="s">
        <v>463</v>
      </c>
      <c r="H44" s="20" t="s">
        <v>13</v>
      </c>
      <c r="I44" s="20" t="s">
        <v>17</v>
      </c>
      <c r="J44" s="20" t="s">
        <v>14</v>
      </c>
      <c r="K44" s="21" t="s">
        <v>1254</v>
      </c>
      <c r="L44" s="21" t="s">
        <v>1215</v>
      </c>
      <c r="M44" s="21" t="s">
        <v>1190</v>
      </c>
    </row>
    <row r="45" spans="1:13" ht="37.5" customHeight="1" x14ac:dyDescent="0.3">
      <c r="A45" s="5"/>
      <c r="B45" s="5"/>
      <c r="C45" s="5"/>
      <c r="D45" s="20">
        <v>41</v>
      </c>
      <c r="E45" s="20" t="s">
        <v>34</v>
      </c>
      <c r="F45" s="20" t="s">
        <v>464</v>
      </c>
      <c r="G45" s="20" t="s">
        <v>465</v>
      </c>
      <c r="H45" s="20" t="s">
        <v>13</v>
      </c>
      <c r="I45" s="20" t="s">
        <v>17</v>
      </c>
      <c r="J45" s="20"/>
      <c r="K45" s="21"/>
      <c r="L45" s="29" t="s">
        <v>1226</v>
      </c>
      <c r="M45" s="21" t="s">
        <v>133</v>
      </c>
    </row>
    <row r="46" spans="1:13" x14ac:dyDescent="0.3">
      <c r="A46" s="5"/>
      <c r="B46" s="5"/>
      <c r="C46" s="5"/>
      <c r="D46" s="20">
        <v>42</v>
      </c>
      <c r="E46" s="20" t="s">
        <v>92</v>
      </c>
      <c r="F46" s="20" t="s">
        <v>466</v>
      </c>
      <c r="G46" s="20" t="s">
        <v>467</v>
      </c>
      <c r="H46" s="20" t="s">
        <v>10</v>
      </c>
      <c r="I46" s="20" t="s">
        <v>17</v>
      </c>
      <c r="J46" s="20" t="s">
        <v>14</v>
      </c>
      <c r="K46" s="21" t="s">
        <v>1255</v>
      </c>
      <c r="L46" s="21" t="s">
        <v>92</v>
      </c>
      <c r="M46" s="21" t="s">
        <v>92</v>
      </c>
    </row>
    <row r="47" spans="1:13" ht="84.6" x14ac:dyDescent="0.3">
      <c r="A47" s="5"/>
      <c r="B47" s="5"/>
      <c r="C47" s="5"/>
      <c r="D47" s="20">
        <v>43</v>
      </c>
      <c r="E47" s="21" t="s">
        <v>1191</v>
      </c>
      <c r="F47" s="21" t="s">
        <v>1192</v>
      </c>
      <c r="G47" s="21" t="s">
        <v>1193</v>
      </c>
      <c r="H47" s="20" t="s">
        <v>10</v>
      </c>
      <c r="I47" s="20" t="s">
        <v>11</v>
      </c>
      <c r="J47" s="20" t="s">
        <v>14</v>
      </c>
      <c r="K47" s="21" t="s">
        <v>1256</v>
      </c>
      <c r="L47" s="21" t="s">
        <v>1143</v>
      </c>
      <c r="M47" s="21" t="s">
        <v>1040</v>
      </c>
    </row>
    <row r="48" spans="1:13" ht="24.6" x14ac:dyDescent="0.3">
      <c r="A48" s="5"/>
      <c r="B48" s="5"/>
      <c r="C48" s="5"/>
      <c r="D48" s="20">
        <v>44</v>
      </c>
      <c r="E48" s="21" t="s">
        <v>1034</v>
      </c>
      <c r="F48" s="21" t="s">
        <v>1030</v>
      </c>
      <c r="G48" s="21" t="s">
        <v>1037</v>
      </c>
      <c r="H48" s="20" t="s">
        <v>10</v>
      </c>
      <c r="I48" s="20" t="s">
        <v>11</v>
      </c>
      <c r="J48" s="20" t="s">
        <v>14</v>
      </c>
      <c r="K48" s="21" t="s">
        <v>1257</v>
      </c>
      <c r="L48" s="21" t="s">
        <v>1144</v>
      </c>
      <c r="M48" s="21" t="s">
        <v>1031</v>
      </c>
    </row>
    <row r="49" spans="1:13" ht="84.6" x14ac:dyDescent="0.3">
      <c r="A49" s="5"/>
      <c r="B49" s="5"/>
      <c r="C49" s="5"/>
      <c r="D49" s="20">
        <v>45</v>
      </c>
      <c r="E49" s="20" t="s">
        <v>1035</v>
      </c>
      <c r="F49" s="20" t="s">
        <v>1032</v>
      </c>
      <c r="G49" s="20" t="s">
        <v>1038</v>
      </c>
      <c r="H49" s="20" t="s">
        <v>10</v>
      </c>
      <c r="I49" s="20" t="s">
        <v>11</v>
      </c>
      <c r="J49" s="20" t="s">
        <v>14</v>
      </c>
      <c r="K49" s="21" t="s">
        <v>1208</v>
      </c>
      <c r="L49" s="21" t="s">
        <v>1142</v>
      </c>
      <c r="M49" s="21" t="s">
        <v>1041</v>
      </c>
    </row>
    <row r="50" spans="1:13" ht="24.6" x14ac:dyDescent="0.3">
      <c r="A50" s="5"/>
      <c r="B50" s="5"/>
      <c r="C50" s="5"/>
      <c r="D50" s="20">
        <v>46</v>
      </c>
      <c r="E50" s="20" t="s">
        <v>1036</v>
      </c>
      <c r="F50" s="20" t="s">
        <v>1033</v>
      </c>
      <c r="G50" s="20" t="s">
        <v>1039</v>
      </c>
      <c r="H50" s="20" t="s">
        <v>10</v>
      </c>
      <c r="I50" s="20" t="s">
        <v>11</v>
      </c>
      <c r="J50" s="20" t="s">
        <v>14</v>
      </c>
      <c r="K50" s="21" t="s">
        <v>1209</v>
      </c>
      <c r="L50" s="21" t="s">
        <v>1145</v>
      </c>
      <c r="M50" s="21" t="s">
        <v>1146</v>
      </c>
    </row>
    <row r="51" spans="1:13" ht="24" x14ac:dyDescent="0.3">
      <c r="A51" s="5"/>
      <c r="B51" s="5"/>
      <c r="C51" s="5"/>
      <c r="D51" s="20">
        <v>47</v>
      </c>
      <c r="E51" s="5" t="s">
        <v>583</v>
      </c>
      <c r="F51" s="5" t="s">
        <v>584</v>
      </c>
      <c r="G51" s="5" t="s">
        <v>585</v>
      </c>
      <c r="H51" s="5" t="s">
        <v>13</v>
      </c>
      <c r="I51" s="5" t="s">
        <v>17</v>
      </c>
      <c r="J51" s="5"/>
      <c r="K51" s="6"/>
      <c r="L51" s="55" t="s">
        <v>974</v>
      </c>
      <c r="M51" s="6"/>
    </row>
    <row r="52" spans="1:13" ht="84.6" x14ac:dyDescent="0.3">
      <c r="A52" s="5"/>
      <c r="B52" s="5"/>
      <c r="C52" s="5"/>
      <c r="D52" s="20">
        <v>48</v>
      </c>
      <c r="E52" s="6" t="s">
        <v>1107</v>
      </c>
      <c r="F52" s="6" t="s">
        <v>554</v>
      </c>
      <c r="G52" s="6" t="s">
        <v>555</v>
      </c>
      <c r="H52" s="6" t="s">
        <v>10</v>
      </c>
      <c r="I52" s="6" t="s">
        <v>11</v>
      </c>
      <c r="J52" s="6" t="s">
        <v>14</v>
      </c>
      <c r="K52" s="6" t="s">
        <v>1258</v>
      </c>
      <c r="L52" s="6" t="s">
        <v>822</v>
      </c>
      <c r="M52" s="6" t="s">
        <v>823</v>
      </c>
    </row>
    <row r="53" spans="1:13" x14ac:dyDescent="0.3">
      <c r="A53" s="5"/>
      <c r="B53" s="5"/>
      <c r="C53" s="5"/>
      <c r="D53" s="20">
        <v>49</v>
      </c>
      <c r="E53" s="5" t="s">
        <v>1108</v>
      </c>
      <c r="F53" s="6" t="s">
        <v>804</v>
      </c>
      <c r="G53" s="6" t="s">
        <v>787</v>
      </c>
      <c r="H53" s="5" t="s">
        <v>13</v>
      </c>
      <c r="I53" s="6" t="s">
        <v>84</v>
      </c>
      <c r="J53" s="5"/>
      <c r="K53" s="6"/>
      <c r="L53" s="6" t="s">
        <v>222</v>
      </c>
      <c r="M53" s="6" t="s">
        <v>222</v>
      </c>
    </row>
    <row r="54" spans="1:13" ht="24.6" x14ac:dyDescent="0.3">
      <c r="A54" s="5"/>
      <c r="B54" s="5"/>
      <c r="C54" s="5"/>
      <c r="D54" s="20">
        <v>50</v>
      </c>
      <c r="E54" s="5" t="s">
        <v>1109</v>
      </c>
      <c r="F54" s="5" t="s">
        <v>758</v>
      </c>
      <c r="G54" s="5" t="s">
        <v>770</v>
      </c>
      <c r="H54" s="5" t="s">
        <v>13</v>
      </c>
      <c r="I54" s="5" t="s">
        <v>84</v>
      </c>
      <c r="J54" s="5"/>
      <c r="K54" s="6"/>
      <c r="L54" s="6" t="s">
        <v>997</v>
      </c>
      <c r="M54" s="6" t="s">
        <v>977</v>
      </c>
    </row>
    <row r="55" spans="1:13" x14ac:dyDescent="0.3">
      <c r="A55" s="6"/>
      <c r="B55" s="6"/>
      <c r="C55" s="6"/>
      <c r="D55" s="20">
        <v>51</v>
      </c>
      <c r="E55" s="6" t="s">
        <v>612</v>
      </c>
      <c r="F55" s="5" t="s">
        <v>884</v>
      </c>
      <c r="G55" s="5" t="s">
        <v>885</v>
      </c>
      <c r="H55" s="29" t="s">
        <v>1287</v>
      </c>
      <c r="I55" s="21" t="s">
        <v>84</v>
      </c>
      <c r="J55" s="21" t="s">
        <v>1301</v>
      </c>
      <c r="K55" s="6"/>
      <c r="L55" s="6" t="s">
        <v>815</v>
      </c>
      <c r="M55" s="6" t="s">
        <v>612</v>
      </c>
    </row>
    <row r="56" spans="1:13" x14ac:dyDescent="0.3">
      <c r="A56" s="6"/>
      <c r="B56" s="6"/>
      <c r="C56" s="6"/>
      <c r="D56" s="20">
        <v>52</v>
      </c>
      <c r="E56" s="6" t="s">
        <v>117</v>
      </c>
      <c r="F56" s="5" t="s">
        <v>887</v>
      </c>
      <c r="G56" s="6" t="s">
        <v>886</v>
      </c>
      <c r="H56" s="29" t="s">
        <v>1287</v>
      </c>
      <c r="I56" s="21" t="s">
        <v>84</v>
      </c>
      <c r="J56" s="2" t="s">
        <v>1301</v>
      </c>
      <c r="K56" s="6"/>
      <c r="L56" s="6" t="s">
        <v>818</v>
      </c>
      <c r="M56" s="6" t="s">
        <v>117</v>
      </c>
    </row>
    <row r="57" spans="1:13" ht="24.6" x14ac:dyDescent="0.3">
      <c r="A57" s="6"/>
      <c r="B57" s="5"/>
      <c r="C57" s="5"/>
      <c r="D57" s="20">
        <v>53</v>
      </c>
      <c r="E57" s="5" t="s">
        <v>39</v>
      </c>
      <c r="F57" s="5" t="s">
        <v>396</v>
      </c>
      <c r="G57" s="5" t="s">
        <v>397</v>
      </c>
      <c r="H57" s="5" t="s">
        <v>10</v>
      </c>
      <c r="I57" s="5" t="s">
        <v>93</v>
      </c>
      <c r="J57" s="6" t="s">
        <v>14</v>
      </c>
      <c r="K57" s="21" t="s">
        <v>1237</v>
      </c>
      <c r="L57" s="6" t="s">
        <v>134</v>
      </c>
      <c r="M57" s="6" t="s">
        <v>134</v>
      </c>
    </row>
    <row r="58" spans="1:13" x14ac:dyDescent="0.3">
      <c r="A58" s="6"/>
      <c r="B58" s="2"/>
      <c r="C58" s="5"/>
      <c r="D58" s="20">
        <v>54</v>
      </c>
      <c r="E58" s="51" t="s">
        <v>589</v>
      </c>
      <c r="F58" s="40" t="s">
        <v>593</v>
      </c>
      <c r="G58" s="40" t="s">
        <v>593</v>
      </c>
      <c r="H58" s="51" t="s">
        <v>10</v>
      </c>
      <c r="I58" s="51" t="s">
        <v>93</v>
      </c>
      <c r="J58" s="2"/>
      <c r="K58" s="6"/>
      <c r="L58" s="51" t="s">
        <v>634</v>
      </c>
      <c r="M58" s="51" t="s">
        <v>588</v>
      </c>
    </row>
    <row r="59" spans="1:13" ht="24.6" x14ac:dyDescent="0.3">
      <c r="A59" s="6"/>
      <c r="B59" s="5"/>
      <c r="C59" s="5"/>
      <c r="D59" s="20">
        <v>55</v>
      </c>
      <c r="E59" s="5" t="s">
        <v>1086</v>
      </c>
      <c r="F59" s="5" t="s">
        <v>321</v>
      </c>
      <c r="G59" s="5" t="s">
        <v>323</v>
      </c>
      <c r="H59" s="6"/>
      <c r="I59" s="5" t="s">
        <v>84</v>
      </c>
      <c r="J59" s="6" t="s">
        <v>14</v>
      </c>
      <c r="K59" s="21" t="s">
        <v>1237</v>
      </c>
      <c r="L59" s="6" t="s">
        <v>512</v>
      </c>
      <c r="M59" s="6" t="s">
        <v>512</v>
      </c>
    </row>
    <row r="60" spans="1:13" ht="36.6" x14ac:dyDescent="0.3">
      <c r="A60" s="6"/>
      <c r="B60" s="5"/>
      <c r="C60" s="5"/>
      <c r="D60" s="20">
        <v>56</v>
      </c>
      <c r="E60" s="5" t="s">
        <v>1087</v>
      </c>
      <c r="F60" s="5" t="s">
        <v>805</v>
      </c>
      <c r="G60" s="5" t="s">
        <v>788</v>
      </c>
      <c r="H60" s="5" t="s">
        <v>13</v>
      </c>
      <c r="I60" s="5" t="s">
        <v>84</v>
      </c>
      <c r="J60" s="5"/>
      <c r="K60" s="6"/>
      <c r="L60" s="6" t="s">
        <v>255</v>
      </c>
      <c r="M60" s="6" t="s">
        <v>256</v>
      </c>
    </row>
    <row r="61" spans="1:13" ht="24.6" x14ac:dyDescent="0.3">
      <c r="A61" s="6"/>
      <c r="B61" s="5"/>
      <c r="C61" s="5"/>
      <c r="D61" s="20">
        <v>57</v>
      </c>
      <c r="E61" s="5" t="s">
        <v>1088</v>
      </c>
      <c r="F61" s="5" t="s">
        <v>759</v>
      </c>
      <c r="G61" s="5" t="s">
        <v>771</v>
      </c>
      <c r="H61" s="5" t="s">
        <v>13</v>
      </c>
      <c r="I61" s="5" t="s">
        <v>84</v>
      </c>
      <c r="J61" s="5"/>
      <c r="K61" s="6"/>
      <c r="L61" s="6" t="s">
        <v>257</v>
      </c>
      <c r="M61" s="6" t="s">
        <v>258</v>
      </c>
    </row>
    <row r="62" spans="1:13" x14ac:dyDescent="0.3">
      <c r="A62" s="6"/>
      <c r="B62" s="6"/>
      <c r="C62" s="6"/>
      <c r="D62" s="20">
        <v>58</v>
      </c>
      <c r="E62" s="5" t="s">
        <v>685</v>
      </c>
      <c r="F62" s="5" t="s">
        <v>888</v>
      </c>
      <c r="G62" s="5" t="s">
        <v>890</v>
      </c>
      <c r="H62" s="29" t="s">
        <v>1287</v>
      </c>
      <c r="I62" s="21" t="s">
        <v>84</v>
      </c>
      <c r="J62" s="21" t="s">
        <v>1301</v>
      </c>
      <c r="K62" s="6"/>
      <c r="L62" s="6" t="s">
        <v>816</v>
      </c>
      <c r="M62" s="6" t="s">
        <v>259</v>
      </c>
    </row>
    <row r="63" spans="1:13" x14ac:dyDescent="0.3">
      <c r="A63" s="6"/>
      <c r="B63" s="6"/>
      <c r="C63" s="6"/>
      <c r="D63" s="20">
        <v>59</v>
      </c>
      <c r="E63" s="5" t="s">
        <v>686</v>
      </c>
      <c r="F63" s="5" t="s">
        <v>889</v>
      </c>
      <c r="G63" s="6" t="s">
        <v>891</v>
      </c>
      <c r="H63" s="29" t="s">
        <v>1287</v>
      </c>
      <c r="I63" s="21" t="s">
        <v>84</v>
      </c>
      <c r="J63" s="2" t="s">
        <v>1301</v>
      </c>
      <c r="K63" s="6"/>
      <c r="L63" s="6" t="s">
        <v>817</v>
      </c>
      <c r="M63" s="6"/>
    </row>
    <row r="64" spans="1:13" s="28" customFormat="1" x14ac:dyDescent="0.3">
      <c r="A64" s="6"/>
      <c r="B64" s="6"/>
      <c r="C64" s="6"/>
      <c r="D64" s="20">
        <v>60</v>
      </c>
      <c r="E64" s="5" t="s">
        <v>676</v>
      </c>
      <c r="F64" s="5" t="s">
        <v>841</v>
      </c>
      <c r="G64" s="5" t="s">
        <v>842</v>
      </c>
      <c r="H64" s="6" t="s">
        <v>10</v>
      </c>
      <c r="I64" s="5" t="s">
        <v>93</v>
      </c>
      <c r="J64" s="5" t="s">
        <v>14</v>
      </c>
      <c r="K64" s="21" t="s">
        <v>1231</v>
      </c>
      <c r="L64" s="6" t="s">
        <v>682</v>
      </c>
      <c r="M64" s="5"/>
    </row>
    <row r="65" spans="1:13" ht="24.6" x14ac:dyDescent="0.3">
      <c r="A65" s="6"/>
      <c r="B65" s="5"/>
      <c r="C65" s="5"/>
      <c r="D65" s="20">
        <v>61</v>
      </c>
      <c r="E65" s="6" t="s">
        <v>244</v>
      </c>
      <c r="F65" s="6" t="s">
        <v>322</v>
      </c>
      <c r="G65" s="6" t="s">
        <v>324</v>
      </c>
      <c r="H65" s="6" t="s">
        <v>10</v>
      </c>
      <c r="I65" s="6" t="s">
        <v>84</v>
      </c>
      <c r="J65" s="6" t="s">
        <v>14</v>
      </c>
      <c r="K65" s="6" t="s">
        <v>1233</v>
      </c>
      <c r="L65" s="6" t="s">
        <v>244</v>
      </c>
      <c r="M65" s="6" t="s">
        <v>244</v>
      </c>
    </row>
    <row r="66" spans="1:13" x14ac:dyDescent="0.3">
      <c r="A66" s="5"/>
      <c r="B66" s="5"/>
      <c r="C66" s="5"/>
      <c r="D66" s="20">
        <v>62</v>
      </c>
      <c r="E66" s="29" t="s">
        <v>1307</v>
      </c>
      <c r="F66" s="21" t="s">
        <v>1314</v>
      </c>
      <c r="G66" s="20" t="s">
        <v>1323</v>
      </c>
      <c r="H66" s="21" t="s">
        <v>10</v>
      </c>
      <c r="I66" s="21" t="s">
        <v>1309</v>
      </c>
      <c r="J66" s="21" t="s">
        <v>14</v>
      </c>
      <c r="K66" s="21" t="s">
        <v>1231</v>
      </c>
      <c r="L66" s="21" t="s">
        <v>1308</v>
      </c>
      <c r="M66" s="21" t="s">
        <v>1308</v>
      </c>
    </row>
    <row r="67" spans="1:13" ht="36.6" x14ac:dyDescent="0.3">
      <c r="A67" s="5"/>
      <c r="B67" s="5"/>
      <c r="C67" s="5"/>
      <c r="D67" s="20">
        <v>63</v>
      </c>
      <c r="E67" s="21" t="s">
        <v>1328</v>
      </c>
      <c r="F67" s="46" t="s">
        <v>1384</v>
      </c>
      <c r="G67" s="21" t="s">
        <v>1385</v>
      </c>
      <c r="H67" s="21" t="s">
        <v>1295</v>
      </c>
      <c r="I67" s="21" t="s">
        <v>84</v>
      </c>
      <c r="J67" s="21"/>
      <c r="K67" s="21"/>
      <c r="L67" s="21" t="s">
        <v>1329</v>
      </c>
      <c r="M67" s="21" t="s">
        <v>1330</v>
      </c>
    </row>
    <row r="68" spans="1:13" ht="36.6" x14ac:dyDescent="0.3">
      <c r="A68" s="5"/>
      <c r="B68" s="5"/>
      <c r="C68" s="5"/>
      <c r="D68" s="20">
        <v>64</v>
      </c>
      <c r="E68" s="21" t="s">
        <v>1331</v>
      </c>
      <c r="F68" s="46" t="s">
        <v>1386</v>
      </c>
      <c r="G68" s="21" t="s">
        <v>1387</v>
      </c>
      <c r="H68" s="21" t="s">
        <v>1295</v>
      </c>
      <c r="I68" s="21" t="s">
        <v>84</v>
      </c>
      <c r="J68" s="21"/>
      <c r="K68" s="21"/>
      <c r="L68" s="21" t="s">
        <v>1332</v>
      </c>
      <c r="M68" s="21" t="s">
        <v>1333</v>
      </c>
    </row>
    <row r="69" spans="1:13" ht="36.6" x14ac:dyDescent="0.3">
      <c r="A69" s="5"/>
      <c r="B69" s="5"/>
      <c r="C69" s="5"/>
      <c r="D69" s="20">
        <v>65</v>
      </c>
      <c r="E69" s="21" t="s">
        <v>1334</v>
      </c>
      <c r="F69" s="46" t="s">
        <v>1388</v>
      </c>
      <c r="G69" s="21" t="s">
        <v>1389</v>
      </c>
      <c r="H69" s="21" t="s">
        <v>10</v>
      </c>
      <c r="I69" s="21" t="s">
        <v>84</v>
      </c>
      <c r="J69" s="21" t="s">
        <v>1335</v>
      </c>
      <c r="K69" s="21" t="s">
        <v>1336</v>
      </c>
      <c r="L69" s="21" t="s">
        <v>1337</v>
      </c>
      <c r="M69" s="21" t="s">
        <v>1338</v>
      </c>
    </row>
    <row r="70" spans="1:13" ht="36" x14ac:dyDescent="0.3">
      <c r="A70" s="5"/>
      <c r="B70" s="5"/>
      <c r="C70" s="5"/>
      <c r="D70" s="20">
        <v>66</v>
      </c>
      <c r="E70" s="21" t="s">
        <v>1339</v>
      </c>
      <c r="F70" s="46" t="s">
        <v>1390</v>
      </c>
      <c r="G70" s="21" t="s">
        <v>1391</v>
      </c>
      <c r="H70" s="21" t="s">
        <v>10</v>
      </c>
      <c r="I70" s="21" t="s">
        <v>84</v>
      </c>
      <c r="J70" s="21" t="s">
        <v>14</v>
      </c>
      <c r="K70" s="29" t="s">
        <v>1341</v>
      </c>
      <c r="L70" s="21" t="s">
        <v>1342</v>
      </c>
      <c r="M70" s="21" t="s">
        <v>1340</v>
      </c>
    </row>
  </sheetData>
  <pageMargins left="0.7" right="0.7" top="0.75" bottom="0.75" header="0.3" footer="0.3"/>
  <pageSetup paperSize="9" orientation="portrait"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5"/>
  <sheetViews>
    <sheetView zoomScale="80" zoomScaleNormal="80" workbookViewId="0">
      <selection activeCell="F8" sqref="F8"/>
    </sheetView>
  </sheetViews>
  <sheetFormatPr defaultColWidth="8.77734375" defaultRowHeight="14.4" x14ac:dyDescent="0.3"/>
  <cols>
    <col min="3" max="3" width="17.21875" customWidth="1"/>
    <col min="5" max="6" width="21.77734375" customWidth="1"/>
    <col min="7" max="7" width="21.21875" customWidth="1"/>
    <col min="8" max="8" width="9.77734375" customWidth="1"/>
    <col min="11" max="11" width="21.44140625" style="44" customWidth="1"/>
    <col min="12" max="12" width="50.21875" customWidth="1"/>
    <col min="13" max="13" width="37.21875" customWidth="1"/>
    <col min="14" max="14" width="32.21875"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5" t="s">
        <v>12</v>
      </c>
      <c r="B2" s="5" t="s">
        <v>57</v>
      </c>
      <c r="C2" s="5"/>
      <c r="D2" s="6" t="s">
        <v>849</v>
      </c>
      <c r="E2" s="5" t="s">
        <v>216</v>
      </c>
      <c r="F2" s="5" t="s">
        <v>242</v>
      </c>
      <c r="G2" s="5" t="s">
        <v>242</v>
      </c>
      <c r="H2" s="5" t="s">
        <v>13</v>
      </c>
      <c r="I2" s="5"/>
      <c r="J2" s="5"/>
      <c r="K2" s="6"/>
      <c r="L2" s="6" t="s">
        <v>620</v>
      </c>
      <c r="M2" s="6" t="s">
        <v>102</v>
      </c>
    </row>
    <row r="3" spans="1:13" ht="24.6" x14ac:dyDescent="0.3">
      <c r="A3" s="5" t="s">
        <v>12</v>
      </c>
      <c r="B3" s="5" t="s">
        <v>1</v>
      </c>
      <c r="C3" s="5" t="s">
        <v>635</v>
      </c>
      <c r="D3" s="6" t="s">
        <v>849</v>
      </c>
      <c r="E3" s="5" t="s">
        <v>705</v>
      </c>
      <c r="F3" s="5" t="s">
        <v>298</v>
      </c>
      <c r="G3" s="5" t="s">
        <v>298</v>
      </c>
      <c r="H3" s="5" t="s">
        <v>13</v>
      </c>
      <c r="I3" s="5"/>
      <c r="J3" s="5"/>
      <c r="K3" s="6"/>
      <c r="L3" s="6" t="s">
        <v>719</v>
      </c>
      <c r="M3" s="6" t="s">
        <v>138</v>
      </c>
    </row>
    <row r="4" spans="1:13" x14ac:dyDescent="0.3">
      <c r="A4" s="5"/>
      <c r="B4" s="5"/>
      <c r="C4" s="5"/>
      <c r="D4" s="5">
        <v>1</v>
      </c>
      <c r="E4" s="5" t="s">
        <v>9</v>
      </c>
      <c r="F4" s="6" t="s">
        <v>367</v>
      </c>
      <c r="G4" s="6" t="s">
        <v>368</v>
      </c>
      <c r="H4" s="5" t="s">
        <v>10</v>
      </c>
      <c r="I4" s="5" t="s">
        <v>11</v>
      </c>
      <c r="J4" s="5"/>
      <c r="K4" s="6"/>
      <c r="L4" s="6" t="s">
        <v>147</v>
      </c>
      <c r="M4" s="6" t="s">
        <v>147</v>
      </c>
    </row>
    <row r="5" spans="1:13" ht="36.6" x14ac:dyDescent="0.3">
      <c r="A5" s="5"/>
      <c r="B5" s="5"/>
      <c r="C5" s="6" t="s">
        <v>213</v>
      </c>
      <c r="D5" s="5">
        <v>2</v>
      </c>
      <c r="E5" s="6" t="s">
        <v>631</v>
      </c>
      <c r="F5" s="6" t="s">
        <v>636</v>
      </c>
      <c r="G5" s="6" t="s">
        <v>637</v>
      </c>
      <c r="H5" s="6" t="s">
        <v>13</v>
      </c>
      <c r="I5" s="6" t="s">
        <v>11</v>
      </c>
      <c r="J5" s="6"/>
      <c r="K5" s="6"/>
      <c r="L5" s="6" t="s">
        <v>651</v>
      </c>
      <c r="M5" s="6"/>
    </row>
    <row r="6" spans="1:13" ht="36.6" x14ac:dyDescent="0.3">
      <c r="A6" s="5"/>
      <c r="B6" s="20"/>
      <c r="C6" s="20"/>
      <c r="D6" s="20">
        <v>3</v>
      </c>
      <c r="E6" s="20" t="s">
        <v>246</v>
      </c>
      <c r="F6" s="20" t="s">
        <v>369</v>
      </c>
      <c r="G6" s="20" t="s">
        <v>369</v>
      </c>
      <c r="H6" s="20" t="s">
        <v>247</v>
      </c>
      <c r="I6" s="20" t="s">
        <v>93</v>
      </c>
      <c r="J6" s="20" t="s">
        <v>14</v>
      </c>
      <c r="K6" s="21" t="s">
        <v>1231</v>
      </c>
      <c r="L6" s="21" t="s">
        <v>1019</v>
      </c>
      <c r="M6" s="21" t="s">
        <v>1020</v>
      </c>
    </row>
    <row r="7" spans="1:13" ht="36.6" x14ac:dyDescent="0.3">
      <c r="A7" s="5"/>
      <c r="B7" s="20"/>
      <c r="C7" s="20" t="s">
        <v>214</v>
      </c>
      <c r="D7" s="20">
        <v>4</v>
      </c>
      <c r="E7" s="20" t="s">
        <v>1157</v>
      </c>
      <c r="F7" s="20" t="s">
        <v>615</v>
      </c>
      <c r="G7" s="20" t="s">
        <v>615</v>
      </c>
      <c r="H7" s="20" t="s">
        <v>10</v>
      </c>
      <c r="I7" s="20" t="s">
        <v>11</v>
      </c>
      <c r="J7" s="20" t="s">
        <v>619</v>
      </c>
      <c r="K7" s="21" t="s">
        <v>1238</v>
      </c>
      <c r="L7" s="31" t="s">
        <v>618</v>
      </c>
      <c r="M7" s="31" t="s">
        <v>139</v>
      </c>
    </row>
    <row r="8" spans="1:13" ht="36.6" x14ac:dyDescent="0.3">
      <c r="A8" s="5"/>
      <c r="B8" s="20"/>
      <c r="C8" s="20" t="s">
        <v>214</v>
      </c>
      <c r="D8" s="20">
        <v>5</v>
      </c>
      <c r="E8" s="21" t="s">
        <v>1155</v>
      </c>
      <c r="F8" s="20" t="s">
        <v>1502</v>
      </c>
      <c r="G8" s="20" t="s">
        <v>1154</v>
      </c>
      <c r="H8" s="20" t="s">
        <v>10</v>
      </c>
      <c r="I8" s="20" t="s">
        <v>11</v>
      </c>
      <c r="J8" s="20"/>
      <c r="K8" s="21"/>
      <c r="L8" s="21" t="s">
        <v>851</v>
      </c>
      <c r="M8" s="21" t="s">
        <v>414</v>
      </c>
    </row>
    <row r="9" spans="1:13" ht="24.6" x14ac:dyDescent="0.3">
      <c r="A9" s="6"/>
      <c r="B9" s="20"/>
      <c r="C9" s="20"/>
      <c r="D9" s="20">
        <v>6</v>
      </c>
      <c r="E9" s="20" t="s">
        <v>1156</v>
      </c>
      <c r="F9" s="20" t="s">
        <v>421</v>
      </c>
      <c r="G9" s="20" t="s">
        <v>422</v>
      </c>
      <c r="H9" s="20" t="s">
        <v>10</v>
      </c>
      <c r="I9" s="20" t="s">
        <v>17</v>
      </c>
      <c r="J9" s="20" t="s">
        <v>14</v>
      </c>
      <c r="K9" s="32" t="s">
        <v>1239</v>
      </c>
      <c r="L9" s="21" t="s">
        <v>146</v>
      </c>
      <c r="M9" s="21" t="s">
        <v>59</v>
      </c>
    </row>
    <row r="10" spans="1:13" x14ac:dyDescent="0.3">
      <c r="A10" s="5"/>
      <c r="B10" s="20"/>
      <c r="C10" s="20" t="s">
        <v>214</v>
      </c>
      <c r="D10" s="20">
        <v>7</v>
      </c>
      <c r="E10" s="20" t="s">
        <v>52</v>
      </c>
      <c r="F10" s="20" t="s">
        <v>417</v>
      </c>
      <c r="G10" s="20" t="s">
        <v>418</v>
      </c>
      <c r="H10" s="20" t="s">
        <v>144</v>
      </c>
      <c r="I10" s="20" t="s">
        <v>11</v>
      </c>
      <c r="J10" s="20"/>
      <c r="K10" s="21"/>
      <c r="L10" s="21" t="s">
        <v>210</v>
      </c>
      <c r="M10" s="21" t="s">
        <v>52</v>
      </c>
    </row>
    <row r="11" spans="1:13" ht="24.6" x14ac:dyDescent="0.3">
      <c r="A11" s="5"/>
      <c r="B11" s="20"/>
      <c r="C11" s="20" t="s">
        <v>214</v>
      </c>
      <c r="D11" s="20">
        <v>8</v>
      </c>
      <c r="E11" s="20" t="s">
        <v>53</v>
      </c>
      <c r="F11" s="20" t="s">
        <v>415</v>
      </c>
      <c r="G11" s="20" t="s">
        <v>416</v>
      </c>
      <c r="H11" s="20" t="s">
        <v>27</v>
      </c>
      <c r="I11" s="20" t="s">
        <v>17</v>
      </c>
      <c r="J11" s="20"/>
      <c r="K11" s="21"/>
      <c r="L11" s="21" t="s">
        <v>211</v>
      </c>
      <c r="M11" s="21" t="s">
        <v>53</v>
      </c>
    </row>
    <row r="12" spans="1:13" ht="24.6" x14ac:dyDescent="0.3">
      <c r="A12" s="5"/>
      <c r="B12" s="20"/>
      <c r="C12" s="20"/>
      <c r="D12" s="20">
        <v>9</v>
      </c>
      <c r="E12" s="20" t="s">
        <v>1111</v>
      </c>
      <c r="F12" s="21" t="s">
        <v>741</v>
      </c>
      <c r="G12" s="21" t="s">
        <v>741</v>
      </c>
      <c r="H12" s="20" t="s">
        <v>10</v>
      </c>
      <c r="I12" s="20" t="s">
        <v>93</v>
      </c>
      <c r="J12" s="20"/>
      <c r="K12" s="21"/>
      <c r="L12" s="21" t="s">
        <v>1173</v>
      </c>
      <c r="M12" s="21" t="s">
        <v>116</v>
      </c>
    </row>
    <row r="13" spans="1:13" ht="36.6" x14ac:dyDescent="0.3">
      <c r="A13" s="5"/>
      <c r="B13" s="20"/>
      <c r="C13" s="20"/>
      <c r="D13" s="20">
        <v>10</v>
      </c>
      <c r="E13" s="20" t="s">
        <v>250</v>
      </c>
      <c r="F13" s="20" t="s">
        <v>347</v>
      </c>
      <c r="G13" s="20" t="s">
        <v>347</v>
      </c>
      <c r="H13" s="21" t="s">
        <v>10</v>
      </c>
      <c r="I13" s="20" t="s">
        <v>93</v>
      </c>
      <c r="J13" s="21" t="s">
        <v>14</v>
      </c>
      <c r="K13" s="21" t="s">
        <v>1235</v>
      </c>
      <c r="L13" s="21" t="s">
        <v>251</v>
      </c>
      <c r="M13" s="21" t="s">
        <v>252</v>
      </c>
    </row>
    <row r="14" spans="1:13" ht="24.6" x14ac:dyDescent="0.3">
      <c r="A14" s="5"/>
      <c r="B14" s="20"/>
      <c r="C14" s="20"/>
      <c r="D14" s="20">
        <v>11</v>
      </c>
      <c r="E14" s="20" t="s">
        <v>1090</v>
      </c>
      <c r="F14" s="20" t="s">
        <v>348</v>
      </c>
      <c r="G14" s="20" t="s">
        <v>348</v>
      </c>
      <c r="H14" s="21" t="s">
        <v>10</v>
      </c>
      <c r="I14" s="20" t="s">
        <v>93</v>
      </c>
      <c r="J14" s="20"/>
      <c r="K14" s="21"/>
      <c r="L14" s="21" t="s">
        <v>535</v>
      </c>
      <c r="M14" s="21" t="s">
        <v>254</v>
      </c>
    </row>
    <row r="15" spans="1:13" ht="36.6" x14ac:dyDescent="0.3">
      <c r="A15" s="5"/>
      <c r="B15" s="20"/>
      <c r="C15" s="20"/>
      <c r="D15" s="20">
        <v>12</v>
      </c>
      <c r="E15" s="21" t="s">
        <v>245</v>
      </c>
      <c r="F15" s="21" t="s">
        <v>349</v>
      </c>
      <c r="G15" s="21" t="s">
        <v>349</v>
      </c>
      <c r="H15" s="21" t="s">
        <v>10</v>
      </c>
      <c r="I15" s="21" t="s">
        <v>17</v>
      </c>
      <c r="J15" s="21" t="s">
        <v>14</v>
      </c>
      <c r="K15" s="21" t="s">
        <v>1236</v>
      </c>
      <c r="L15" s="21" t="s">
        <v>814</v>
      </c>
      <c r="M15" s="21" t="s">
        <v>602</v>
      </c>
    </row>
    <row r="16" spans="1:13" ht="24.6" x14ac:dyDescent="0.3">
      <c r="A16" s="5"/>
      <c r="B16" s="20"/>
      <c r="C16" s="20"/>
      <c r="D16" s="20">
        <v>13</v>
      </c>
      <c r="E16" s="20" t="s">
        <v>58</v>
      </c>
      <c r="F16" s="20" t="s">
        <v>420</v>
      </c>
      <c r="G16" s="20" t="s">
        <v>420</v>
      </c>
      <c r="H16" s="20" t="s">
        <v>10</v>
      </c>
      <c r="I16" s="20" t="s">
        <v>17</v>
      </c>
      <c r="J16" s="20" t="s">
        <v>14</v>
      </c>
      <c r="K16" s="21" t="s">
        <v>1234</v>
      </c>
      <c r="L16" s="21" t="s">
        <v>142</v>
      </c>
      <c r="M16" s="21" t="s">
        <v>141</v>
      </c>
    </row>
    <row r="17" spans="1:13" x14ac:dyDescent="0.3">
      <c r="A17" s="5"/>
      <c r="B17" s="20"/>
      <c r="C17" s="20"/>
      <c r="D17" s="20">
        <v>14</v>
      </c>
      <c r="E17" s="20" t="s">
        <v>1112</v>
      </c>
      <c r="F17" s="20" t="s">
        <v>419</v>
      </c>
      <c r="G17" s="20" t="s">
        <v>419</v>
      </c>
      <c r="H17" s="20" t="s">
        <v>1291</v>
      </c>
      <c r="I17" s="20" t="s">
        <v>17</v>
      </c>
      <c r="J17" s="20" t="s">
        <v>1292</v>
      </c>
      <c r="K17" s="21"/>
      <c r="L17" s="21" t="s">
        <v>78</v>
      </c>
      <c r="M17" s="21" t="s">
        <v>143</v>
      </c>
    </row>
    <row r="18" spans="1:13" ht="24.6" x14ac:dyDescent="0.3">
      <c r="A18" s="5"/>
      <c r="B18" s="20"/>
      <c r="C18" s="20"/>
      <c r="D18" s="20">
        <v>15</v>
      </c>
      <c r="E18" s="20" t="s">
        <v>1113</v>
      </c>
      <c r="F18" s="21" t="s">
        <v>806</v>
      </c>
      <c r="G18" s="21" t="s">
        <v>790</v>
      </c>
      <c r="H18" s="20" t="s">
        <v>13</v>
      </c>
      <c r="I18" s="20" t="s">
        <v>84</v>
      </c>
      <c r="J18" s="20"/>
      <c r="K18" s="21"/>
      <c r="L18" s="29" t="s">
        <v>220</v>
      </c>
      <c r="M18" s="21" t="s">
        <v>220</v>
      </c>
    </row>
    <row r="19" spans="1:13" ht="36.6" x14ac:dyDescent="0.3">
      <c r="A19" s="5"/>
      <c r="B19" s="20"/>
      <c r="C19" s="20"/>
      <c r="D19" s="20">
        <v>16</v>
      </c>
      <c r="E19" s="20" t="s">
        <v>1114</v>
      </c>
      <c r="F19" s="20" t="s">
        <v>760</v>
      </c>
      <c r="G19" s="20" t="s">
        <v>772</v>
      </c>
      <c r="H19" s="20" t="s">
        <v>13</v>
      </c>
      <c r="I19" s="20" t="s">
        <v>84</v>
      </c>
      <c r="J19" s="20"/>
      <c r="K19" s="21"/>
      <c r="L19" s="29" t="s">
        <v>221</v>
      </c>
      <c r="M19" s="21" t="s">
        <v>221</v>
      </c>
    </row>
    <row r="20" spans="1:13" s="13" customFormat="1" x14ac:dyDescent="0.3">
      <c r="A20" s="6"/>
      <c r="B20" s="21"/>
      <c r="C20" s="21"/>
      <c r="D20" s="20">
        <v>17</v>
      </c>
      <c r="E20" s="21" t="s">
        <v>612</v>
      </c>
      <c r="F20" s="20" t="s">
        <v>934</v>
      </c>
      <c r="G20" s="20" t="s">
        <v>932</v>
      </c>
      <c r="H20" s="29" t="s">
        <v>1287</v>
      </c>
      <c r="I20" s="21" t="s">
        <v>84</v>
      </c>
      <c r="J20" s="21" t="s">
        <v>1301</v>
      </c>
      <c r="K20" s="21"/>
      <c r="L20" s="21" t="s">
        <v>815</v>
      </c>
      <c r="M20" s="21" t="s">
        <v>612</v>
      </c>
    </row>
    <row r="21" spans="1:13" x14ac:dyDescent="0.3">
      <c r="A21" s="6"/>
      <c r="B21" s="21"/>
      <c r="C21" s="21"/>
      <c r="D21" s="20">
        <v>18</v>
      </c>
      <c r="E21" s="21" t="s">
        <v>117</v>
      </c>
      <c r="F21" s="20" t="s">
        <v>935</v>
      </c>
      <c r="G21" s="21" t="s">
        <v>933</v>
      </c>
      <c r="H21" s="29" t="s">
        <v>1287</v>
      </c>
      <c r="I21" s="21" t="s">
        <v>84</v>
      </c>
      <c r="J21" s="2" t="s">
        <v>1301</v>
      </c>
      <c r="K21" s="21"/>
      <c r="L21" s="21" t="s">
        <v>818</v>
      </c>
      <c r="M21" s="21" t="s">
        <v>117</v>
      </c>
    </row>
    <row r="22" spans="1:13" ht="24.6" x14ac:dyDescent="0.3">
      <c r="A22" s="5"/>
      <c r="B22" s="20"/>
      <c r="C22" s="20"/>
      <c r="D22" s="20">
        <v>19</v>
      </c>
      <c r="E22" s="20" t="s">
        <v>39</v>
      </c>
      <c r="F22" s="20" t="s">
        <v>398</v>
      </c>
      <c r="G22" s="20" t="s">
        <v>399</v>
      </c>
      <c r="H22" s="20" t="s">
        <v>10</v>
      </c>
      <c r="I22" s="20" t="s">
        <v>93</v>
      </c>
      <c r="J22" s="20" t="s">
        <v>14</v>
      </c>
      <c r="K22" s="21" t="s">
        <v>1237</v>
      </c>
      <c r="L22" s="21" t="s">
        <v>145</v>
      </c>
      <c r="M22" s="21" t="s">
        <v>145</v>
      </c>
    </row>
    <row r="23" spans="1:13" x14ac:dyDescent="0.3">
      <c r="A23" s="5"/>
      <c r="B23" s="32"/>
      <c r="C23" s="20"/>
      <c r="D23" s="20">
        <v>20</v>
      </c>
      <c r="E23" s="31" t="s">
        <v>589</v>
      </c>
      <c r="F23" s="33" t="s">
        <v>594</v>
      </c>
      <c r="G23" s="33" t="s">
        <v>594</v>
      </c>
      <c r="H23" s="31" t="s">
        <v>10</v>
      </c>
      <c r="I23" s="31" t="s">
        <v>93</v>
      </c>
      <c r="J23" s="32"/>
      <c r="K23" s="21"/>
      <c r="L23" s="31" t="s">
        <v>588</v>
      </c>
      <c r="M23" s="31" t="s">
        <v>588</v>
      </c>
    </row>
    <row r="24" spans="1:13" ht="24.6" x14ac:dyDescent="0.3">
      <c r="A24" s="5"/>
      <c r="B24" s="20"/>
      <c r="C24" s="20"/>
      <c r="D24" s="20">
        <v>21</v>
      </c>
      <c r="E24" s="20" t="s">
        <v>1086</v>
      </c>
      <c r="F24" s="20" t="s">
        <v>325</v>
      </c>
      <c r="G24" s="20" t="s">
        <v>327</v>
      </c>
      <c r="H24" s="20" t="s">
        <v>10</v>
      </c>
      <c r="I24" s="20" t="s">
        <v>84</v>
      </c>
      <c r="J24" s="21" t="s">
        <v>14</v>
      </c>
      <c r="K24" s="21" t="s">
        <v>1237</v>
      </c>
      <c r="L24" s="21" t="s">
        <v>512</v>
      </c>
      <c r="M24" s="21" t="s">
        <v>512</v>
      </c>
    </row>
    <row r="25" spans="1:13" ht="36.6" x14ac:dyDescent="0.3">
      <c r="A25" s="5"/>
      <c r="B25" s="20"/>
      <c r="C25" s="20"/>
      <c r="D25" s="20">
        <v>22</v>
      </c>
      <c r="E25" s="20" t="s">
        <v>1087</v>
      </c>
      <c r="F25" s="20" t="s">
        <v>807</v>
      </c>
      <c r="G25" s="20" t="s">
        <v>789</v>
      </c>
      <c r="H25" s="20" t="s">
        <v>13</v>
      </c>
      <c r="I25" s="20" t="s">
        <v>84</v>
      </c>
      <c r="J25" s="20"/>
      <c r="K25" s="21"/>
      <c r="L25" s="21" t="s">
        <v>255</v>
      </c>
      <c r="M25" s="21" t="s">
        <v>256</v>
      </c>
    </row>
    <row r="26" spans="1:13" ht="36.6" x14ac:dyDescent="0.3">
      <c r="A26" s="5"/>
      <c r="B26" s="20"/>
      <c r="C26" s="20"/>
      <c r="D26" s="20">
        <v>23</v>
      </c>
      <c r="E26" s="20" t="s">
        <v>1088</v>
      </c>
      <c r="F26" s="20" t="s">
        <v>761</v>
      </c>
      <c r="G26" s="20" t="s">
        <v>773</v>
      </c>
      <c r="H26" s="20" t="s">
        <v>13</v>
      </c>
      <c r="I26" s="20" t="s">
        <v>84</v>
      </c>
      <c r="J26" s="20"/>
      <c r="K26" s="21"/>
      <c r="L26" s="21" t="s">
        <v>257</v>
      </c>
      <c r="M26" s="21" t="s">
        <v>258</v>
      </c>
    </row>
    <row r="27" spans="1:13" ht="24.6" x14ac:dyDescent="0.3">
      <c r="A27" s="6"/>
      <c r="B27" s="21"/>
      <c r="C27" s="21"/>
      <c r="D27" s="20">
        <v>24</v>
      </c>
      <c r="E27" s="20" t="s">
        <v>685</v>
      </c>
      <c r="F27" s="20" t="s">
        <v>929</v>
      </c>
      <c r="G27" s="20" t="s">
        <v>930</v>
      </c>
      <c r="H27" s="29" t="s">
        <v>1287</v>
      </c>
      <c r="I27" s="21" t="s">
        <v>84</v>
      </c>
      <c r="J27" s="21" t="s">
        <v>1301</v>
      </c>
      <c r="K27" s="21"/>
      <c r="L27" s="21" t="s">
        <v>816</v>
      </c>
      <c r="M27" s="21" t="s">
        <v>259</v>
      </c>
    </row>
    <row r="28" spans="1:13" s="13" customFormat="1" ht="24.6" x14ac:dyDescent="0.3">
      <c r="A28" s="6"/>
      <c r="B28" s="21"/>
      <c r="C28" s="21"/>
      <c r="D28" s="20">
        <v>25</v>
      </c>
      <c r="E28" s="20" t="s">
        <v>686</v>
      </c>
      <c r="F28" s="20" t="s">
        <v>928</v>
      </c>
      <c r="G28" s="21" t="s">
        <v>931</v>
      </c>
      <c r="H28" s="29" t="s">
        <v>1287</v>
      </c>
      <c r="I28" s="21" t="s">
        <v>84</v>
      </c>
      <c r="J28" s="2" t="s">
        <v>1301</v>
      </c>
      <c r="K28" s="21"/>
      <c r="L28" s="21" t="s">
        <v>817</v>
      </c>
      <c r="M28" s="21"/>
    </row>
    <row r="29" spans="1:13" ht="24.6" x14ac:dyDescent="0.3">
      <c r="A29" s="6"/>
      <c r="B29" s="21"/>
      <c r="C29" s="21"/>
      <c r="D29" s="20">
        <v>26</v>
      </c>
      <c r="E29" s="20" t="s">
        <v>676</v>
      </c>
      <c r="F29" s="20" t="s">
        <v>868</v>
      </c>
      <c r="G29" s="20" t="s">
        <v>869</v>
      </c>
      <c r="H29" s="21" t="s">
        <v>10</v>
      </c>
      <c r="I29" s="20" t="s">
        <v>93</v>
      </c>
      <c r="J29" s="20" t="s">
        <v>14</v>
      </c>
      <c r="K29" s="21" t="s">
        <v>1231</v>
      </c>
      <c r="L29" s="21" t="s">
        <v>988</v>
      </c>
      <c r="M29" s="20"/>
    </row>
    <row r="30" spans="1:13" ht="24.6" x14ac:dyDescent="0.3">
      <c r="A30" s="5"/>
      <c r="B30" s="20"/>
      <c r="C30" s="20"/>
      <c r="D30" s="20">
        <v>27</v>
      </c>
      <c r="E30" s="21" t="s">
        <v>244</v>
      </c>
      <c r="F30" s="21" t="s">
        <v>326</v>
      </c>
      <c r="G30" s="21" t="s">
        <v>328</v>
      </c>
      <c r="H30" s="21" t="s">
        <v>10</v>
      </c>
      <c r="I30" s="21" t="s">
        <v>84</v>
      </c>
      <c r="J30" s="21" t="s">
        <v>14</v>
      </c>
      <c r="K30" s="6" t="s">
        <v>1233</v>
      </c>
      <c r="L30" s="21" t="s">
        <v>244</v>
      </c>
      <c r="M30" s="21" t="s">
        <v>244</v>
      </c>
    </row>
    <row r="31" spans="1:13" ht="24.6" x14ac:dyDescent="0.3">
      <c r="A31" s="21"/>
      <c r="B31" s="21"/>
      <c r="C31" s="21"/>
      <c r="D31" s="20">
        <v>28</v>
      </c>
      <c r="E31" s="21" t="s">
        <v>1307</v>
      </c>
      <c r="F31" s="21" t="s">
        <v>1315</v>
      </c>
      <c r="G31" s="20" t="s">
        <v>1322</v>
      </c>
      <c r="H31" s="21" t="s">
        <v>10</v>
      </c>
      <c r="I31" s="21" t="s">
        <v>1309</v>
      </c>
      <c r="J31" s="21" t="s">
        <v>14</v>
      </c>
      <c r="K31" s="21" t="s">
        <v>1231</v>
      </c>
      <c r="L31" s="21" t="s">
        <v>1308</v>
      </c>
      <c r="M31" s="21" t="s">
        <v>1308</v>
      </c>
    </row>
    <row r="32" spans="1:13" ht="48.6" x14ac:dyDescent="0.3">
      <c r="A32" s="21"/>
      <c r="B32" s="21"/>
      <c r="C32" s="21"/>
      <c r="D32" s="20">
        <v>29</v>
      </c>
      <c r="E32" s="21" t="s">
        <v>1328</v>
      </c>
      <c r="F32" s="46" t="s">
        <v>1392</v>
      </c>
      <c r="G32" s="21" t="s">
        <v>1393</v>
      </c>
      <c r="H32" s="21" t="s">
        <v>1295</v>
      </c>
      <c r="I32" s="21" t="s">
        <v>84</v>
      </c>
      <c r="J32" s="21"/>
      <c r="K32" s="21"/>
      <c r="L32" s="21" t="s">
        <v>1329</v>
      </c>
      <c r="M32" s="21" t="s">
        <v>1330</v>
      </c>
    </row>
    <row r="33" spans="1:13" ht="36.6" x14ac:dyDescent="0.3">
      <c r="A33" s="21"/>
      <c r="B33" s="21"/>
      <c r="C33" s="21"/>
      <c r="D33" s="20">
        <v>30</v>
      </c>
      <c r="E33" s="21" t="s">
        <v>1331</v>
      </c>
      <c r="F33" s="46" t="s">
        <v>1394</v>
      </c>
      <c r="G33" s="21" t="s">
        <v>1395</v>
      </c>
      <c r="H33" s="21" t="s">
        <v>1295</v>
      </c>
      <c r="I33" s="21" t="s">
        <v>84</v>
      </c>
      <c r="J33" s="21"/>
      <c r="K33" s="21"/>
      <c r="L33" s="21" t="s">
        <v>1332</v>
      </c>
      <c r="M33" s="21" t="s">
        <v>1333</v>
      </c>
    </row>
    <row r="34" spans="1:13" ht="36.6" x14ac:dyDescent="0.3">
      <c r="A34" s="21"/>
      <c r="B34" s="21"/>
      <c r="C34" s="21"/>
      <c r="D34" s="20">
        <v>31</v>
      </c>
      <c r="E34" s="21" t="s">
        <v>1334</v>
      </c>
      <c r="F34" s="46" t="s">
        <v>1396</v>
      </c>
      <c r="G34" s="21" t="s">
        <v>1397</v>
      </c>
      <c r="H34" s="21" t="s">
        <v>10</v>
      </c>
      <c r="I34" s="21" t="s">
        <v>84</v>
      </c>
      <c r="J34" s="21" t="s">
        <v>1335</v>
      </c>
      <c r="K34" s="21" t="s">
        <v>1336</v>
      </c>
      <c r="L34" s="21" t="s">
        <v>1337</v>
      </c>
      <c r="M34" s="21" t="s">
        <v>1338</v>
      </c>
    </row>
    <row r="35" spans="1:13" ht="48" x14ac:dyDescent="0.3">
      <c r="A35" s="21"/>
      <c r="B35" s="21"/>
      <c r="C35" s="21"/>
      <c r="D35" s="20">
        <v>32</v>
      </c>
      <c r="E35" s="21" t="s">
        <v>1339</v>
      </c>
      <c r="F35" s="46" t="s">
        <v>1398</v>
      </c>
      <c r="G35" s="21" t="s">
        <v>1399</v>
      </c>
      <c r="H35" s="21" t="s">
        <v>10</v>
      </c>
      <c r="I35" s="21" t="s">
        <v>84</v>
      </c>
      <c r="J35" s="21" t="s">
        <v>14</v>
      </c>
      <c r="K35" s="29" t="s">
        <v>1341</v>
      </c>
      <c r="L35" s="21" t="s">
        <v>1342</v>
      </c>
      <c r="M35" s="21" t="s">
        <v>1340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zoomScale="80" zoomScaleNormal="80" workbookViewId="0">
      <selection activeCell="F35" sqref="F35"/>
    </sheetView>
  </sheetViews>
  <sheetFormatPr defaultColWidth="8.77734375" defaultRowHeight="14.4" x14ac:dyDescent="0.3"/>
  <cols>
    <col min="1" max="1" width="6.21875" bestFit="1" customWidth="1"/>
    <col min="2" max="2" width="9.44140625" customWidth="1"/>
    <col min="3" max="3" width="15.77734375" customWidth="1"/>
    <col min="4" max="4" width="7.5546875" customWidth="1"/>
    <col min="5" max="5" width="27.77734375" bestFit="1" customWidth="1"/>
    <col min="6" max="6" width="27.77734375" customWidth="1"/>
    <col min="7" max="7" width="21.21875" customWidth="1"/>
    <col min="8" max="8" width="13.44140625" customWidth="1"/>
    <col min="9" max="9" width="9.21875" customWidth="1"/>
    <col min="10" max="10" width="20.77734375" customWidth="1"/>
    <col min="11" max="11" width="22.44140625" style="44" customWidth="1"/>
    <col min="12" max="12" width="63.21875" style="7" customWidth="1"/>
    <col min="13" max="13" width="57.21875" style="7" customWidth="1"/>
    <col min="14" max="14" width="25.44140625" bestFit="1"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6" t="s">
        <v>12</v>
      </c>
      <c r="B2" s="6" t="s">
        <v>57</v>
      </c>
      <c r="C2" s="6"/>
      <c r="D2" s="6" t="s">
        <v>849</v>
      </c>
      <c r="E2" s="6" t="s">
        <v>3</v>
      </c>
      <c r="F2" s="6" t="s">
        <v>385</v>
      </c>
      <c r="G2" s="6" t="s">
        <v>385</v>
      </c>
      <c r="H2" s="6" t="s">
        <v>13</v>
      </c>
      <c r="I2" s="6"/>
      <c r="J2" s="6"/>
      <c r="K2" s="6"/>
      <c r="L2" s="6" t="s">
        <v>620</v>
      </c>
      <c r="M2" s="6" t="s">
        <v>102</v>
      </c>
    </row>
    <row r="3" spans="1:13" ht="24.6" x14ac:dyDescent="0.3">
      <c r="A3" s="6" t="s">
        <v>12</v>
      </c>
      <c r="B3" s="6" t="s">
        <v>1</v>
      </c>
      <c r="C3" s="6" t="s">
        <v>214</v>
      </c>
      <c r="D3" s="6" t="s">
        <v>849</v>
      </c>
      <c r="E3" s="6" t="s">
        <v>94</v>
      </c>
      <c r="F3" s="6" t="s">
        <v>242</v>
      </c>
      <c r="G3" s="6" t="s">
        <v>242</v>
      </c>
      <c r="H3" s="6" t="s">
        <v>13</v>
      </c>
      <c r="I3" s="6" t="s">
        <v>17</v>
      </c>
      <c r="J3" s="6"/>
      <c r="K3" s="6"/>
      <c r="L3" s="6" t="s">
        <v>720</v>
      </c>
      <c r="M3" s="6" t="s">
        <v>119</v>
      </c>
    </row>
    <row r="4" spans="1:13" ht="24.6" x14ac:dyDescent="0.3">
      <c r="A4" s="6" t="s">
        <v>12</v>
      </c>
      <c r="B4" s="6" t="s">
        <v>1</v>
      </c>
      <c r="C4" s="6" t="s">
        <v>214</v>
      </c>
      <c r="D4" s="6" t="s">
        <v>849</v>
      </c>
      <c r="E4" s="6" t="s">
        <v>230</v>
      </c>
      <c r="F4" s="6" t="s">
        <v>264</v>
      </c>
      <c r="G4" s="6" t="s">
        <v>264</v>
      </c>
      <c r="H4" s="6" t="s">
        <v>13</v>
      </c>
      <c r="I4" s="6" t="s">
        <v>17</v>
      </c>
      <c r="J4" s="6"/>
      <c r="K4" s="6"/>
      <c r="L4" s="6" t="s">
        <v>721</v>
      </c>
      <c r="M4" s="6" t="s">
        <v>126</v>
      </c>
    </row>
    <row r="5" spans="1:13" ht="24.6" x14ac:dyDescent="0.3">
      <c r="A5" s="6" t="s">
        <v>12</v>
      </c>
      <c r="B5" s="6" t="s">
        <v>1</v>
      </c>
      <c r="C5" s="6" t="s">
        <v>214</v>
      </c>
      <c r="D5" s="6" t="s">
        <v>849</v>
      </c>
      <c r="E5" s="6" t="s">
        <v>561</v>
      </c>
      <c r="F5" s="6" t="s">
        <v>265</v>
      </c>
      <c r="G5" s="6" t="s">
        <v>265</v>
      </c>
      <c r="H5" s="6" t="s">
        <v>13</v>
      </c>
      <c r="I5" s="6" t="s">
        <v>17</v>
      </c>
      <c r="J5" s="6"/>
      <c r="K5" s="6"/>
      <c r="L5" s="6" t="s">
        <v>722</v>
      </c>
      <c r="M5" s="6" t="s">
        <v>386</v>
      </c>
    </row>
    <row r="6" spans="1:13" ht="48.6" x14ac:dyDescent="0.3">
      <c r="A6" s="6" t="s">
        <v>12</v>
      </c>
      <c r="B6" s="6" t="s">
        <v>1</v>
      </c>
      <c r="C6" s="6"/>
      <c r="D6" s="6" t="s">
        <v>849</v>
      </c>
      <c r="E6" s="6" t="s">
        <v>64</v>
      </c>
      <c r="F6" s="6" t="s">
        <v>243</v>
      </c>
      <c r="G6" s="6" t="s">
        <v>243</v>
      </c>
      <c r="H6" s="6" t="s">
        <v>13</v>
      </c>
      <c r="I6" s="6" t="s">
        <v>17</v>
      </c>
      <c r="J6" s="6"/>
      <c r="K6" s="6"/>
      <c r="L6" s="6" t="s">
        <v>723</v>
      </c>
      <c r="M6" s="6" t="s">
        <v>121</v>
      </c>
    </row>
    <row r="7" spans="1:13" ht="24.75" customHeight="1" x14ac:dyDescent="0.3">
      <c r="A7" s="6" t="s">
        <v>12</v>
      </c>
      <c r="B7" s="6" t="s">
        <v>1</v>
      </c>
      <c r="C7" s="6" t="s">
        <v>214</v>
      </c>
      <c r="D7" s="6" t="s">
        <v>849</v>
      </c>
      <c r="E7" s="6" t="s">
        <v>207</v>
      </c>
      <c r="F7" s="6" t="s">
        <v>299</v>
      </c>
      <c r="G7" s="6" t="s">
        <v>299</v>
      </c>
      <c r="H7" s="6" t="s">
        <v>13</v>
      </c>
      <c r="I7" s="6" t="s">
        <v>86</v>
      </c>
      <c r="J7" s="6"/>
      <c r="K7" s="6"/>
      <c r="L7" s="6" t="s">
        <v>724</v>
      </c>
      <c r="M7" s="6" t="s">
        <v>609</v>
      </c>
    </row>
    <row r="8" spans="1:13" ht="24.75" customHeight="1" x14ac:dyDescent="0.3">
      <c r="A8" s="6" t="s">
        <v>12</v>
      </c>
      <c r="B8" s="6" t="s">
        <v>1</v>
      </c>
      <c r="C8" s="6" t="s">
        <v>214</v>
      </c>
      <c r="D8" s="6" t="s">
        <v>849</v>
      </c>
      <c r="E8" s="6" t="s">
        <v>541</v>
      </c>
      <c r="F8" s="6" t="s">
        <v>383</v>
      </c>
      <c r="G8" s="6" t="s">
        <v>383</v>
      </c>
      <c r="H8" s="6" t="s">
        <v>13</v>
      </c>
      <c r="I8" s="6" t="s">
        <v>86</v>
      </c>
      <c r="J8" s="6"/>
      <c r="K8" s="6"/>
      <c r="L8" s="6" t="s">
        <v>725</v>
      </c>
      <c r="M8" s="6" t="s">
        <v>556</v>
      </c>
    </row>
    <row r="9" spans="1:13" ht="24.75" customHeight="1" x14ac:dyDescent="0.3">
      <c r="A9" s="6" t="s">
        <v>12</v>
      </c>
      <c r="B9" s="6" t="s">
        <v>1</v>
      </c>
      <c r="C9" s="6" t="s">
        <v>214</v>
      </c>
      <c r="D9" s="6" t="s">
        <v>849</v>
      </c>
      <c r="E9" s="6" t="s">
        <v>824</v>
      </c>
      <c r="F9" s="6" t="s">
        <v>387</v>
      </c>
      <c r="G9" s="6" t="s">
        <v>387</v>
      </c>
      <c r="H9" s="6" t="s">
        <v>13</v>
      </c>
      <c r="I9" s="6" t="s">
        <v>86</v>
      </c>
      <c r="J9" s="6"/>
      <c r="K9" s="6"/>
      <c r="L9" s="6" t="s">
        <v>825</v>
      </c>
      <c r="M9" s="6" t="s">
        <v>826</v>
      </c>
    </row>
    <row r="10" spans="1:13" x14ac:dyDescent="0.3">
      <c r="A10" s="6"/>
      <c r="B10" s="6"/>
      <c r="C10" s="6"/>
      <c r="D10" s="6">
        <v>1</v>
      </c>
      <c r="E10" s="6" t="s">
        <v>9</v>
      </c>
      <c r="F10" s="6" t="s">
        <v>370</v>
      </c>
      <c r="G10" s="6" t="s">
        <v>372</v>
      </c>
      <c r="H10" s="6" t="s">
        <v>10</v>
      </c>
      <c r="I10" s="6" t="s">
        <v>11</v>
      </c>
      <c r="J10" s="6"/>
      <c r="K10" s="6"/>
      <c r="L10" s="6" t="s">
        <v>148</v>
      </c>
      <c r="M10" s="6" t="s">
        <v>148</v>
      </c>
    </row>
    <row r="11" spans="1:13" ht="84.6" x14ac:dyDescent="0.3">
      <c r="A11" s="6"/>
      <c r="B11" s="6"/>
      <c r="C11" s="6"/>
      <c r="D11" s="6">
        <v>2</v>
      </c>
      <c r="E11" s="6" t="s">
        <v>1092</v>
      </c>
      <c r="F11" s="6" t="s">
        <v>904</v>
      </c>
      <c r="G11" s="6" t="s">
        <v>905</v>
      </c>
      <c r="H11" s="6" t="s">
        <v>515</v>
      </c>
      <c r="I11" s="6" t="s">
        <v>11</v>
      </c>
      <c r="J11" s="6" t="s">
        <v>990</v>
      </c>
      <c r="K11" s="6"/>
      <c r="L11" s="6" t="s">
        <v>993</v>
      </c>
      <c r="M11" s="6" t="s">
        <v>564</v>
      </c>
    </row>
    <row r="12" spans="1:13" ht="24.6" x14ac:dyDescent="0.3">
      <c r="A12" s="6"/>
      <c r="B12" s="6"/>
      <c r="C12" s="21"/>
      <c r="D12" s="21">
        <v>3</v>
      </c>
      <c r="E12" s="20" t="s">
        <v>246</v>
      </c>
      <c r="F12" s="20" t="s">
        <v>371</v>
      </c>
      <c r="G12" s="20" t="s">
        <v>371</v>
      </c>
      <c r="H12" s="20" t="s">
        <v>247</v>
      </c>
      <c r="I12" s="20" t="s">
        <v>93</v>
      </c>
      <c r="J12" s="21" t="s">
        <v>14</v>
      </c>
      <c r="K12" s="21" t="s">
        <v>1231</v>
      </c>
      <c r="L12" s="21" t="s">
        <v>1019</v>
      </c>
      <c r="M12" s="21" t="s">
        <v>1020</v>
      </c>
    </row>
    <row r="13" spans="1:13" ht="36.6" x14ac:dyDescent="0.3">
      <c r="A13" s="6"/>
      <c r="B13" s="6"/>
      <c r="C13" s="21" t="s">
        <v>214</v>
      </c>
      <c r="D13" s="21">
        <v>4</v>
      </c>
      <c r="E13" s="21" t="s">
        <v>631</v>
      </c>
      <c r="F13" s="21" t="s">
        <v>487</v>
      </c>
      <c r="G13" s="21" t="s">
        <v>488</v>
      </c>
      <c r="H13" s="21" t="s">
        <v>13</v>
      </c>
      <c r="I13" s="21" t="s">
        <v>11</v>
      </c>
      <c r="J13" s="21"/>
      <c r="K13" s="21"/>
      <c r="L13" s="21" t="s">
        <v>649</v>
      </c>
      <c r="M13" s="21" t="s">
        <v>649</v>
      </c>
    </row>
    <row r="14" spans="1:13" x14ac:dyDescent="0.3">
      <c r="A14" s="6"/>
      <c r="B14" s="6"/>
      <c r="C14" s="21"/>
      <c r="D14" s="21">
        <v>5</v>
      </c>
      <c r="E14" s="21" t="s">
        <v>217</v>
      </c>
      <c r="F14" s="20" t="s">
        <v>485</v>
      </c>
      <c r="G14" s="20" t="s">
        <v>486</v>
      </c>
      <c r="H14" s="21" t="s">
        <v>13</v>
      </c>
      <c r="I14" s="21" t="s">
        <v>17</v>
      </c>
      <c r="J14" s="21"/>
      <c r="K14" s="21"/>
      <c r="L14" s="21" t="s">
        <v>1194</v>
      </c>
      <c r="M14" s="21" t="s">
        <v>1194</v>
      </c>
    </row>
    <row r="15" spans="1:13" ht="24.6" x14ac:dyDescent="0.3">
      <c r="A15" s="6"/>
      <c r="B15" s="6"/>
      <c r="C15" s="21"/>
      <c r="D15" s="21">
        <v>6</v>
      </c>
      <c r="E15" s="21" t="s">
        <v>1115</v>
      </c>
      <c r="F15" s="21" t="s">
        <v>742</v>
      </c>
      <c r="G15" s="21" t="s">
        <v>742</v>
      </c>
      <c r="H15" s="21" t="s">
        <v>10</v>
      </c>
      <c r="I15" s="21" t="s">
        <v>93</v>
      </c>
      <c r="J15" s="21"/>
      <c r="K15" s="21"/>
      <c r="L15" s="21" t="s">
        <v>1195</v>
      </c>
      <c r="M15" s="21" t="s">
        <v>1196</v>
      </c>
    </row>
    <row r="16" spans="1:13" ht="24.6" x14ac:dyDescent="0.3">
      <c r="A16" s="6"/>
      <c r="B16" s="6"/>
      <c r="C16" s="21"/>
      <c r="D16" s="21">
        <v>7</v>
      </c>
      <c r="E16" s="20" t="s">
        <v>250</v>
      </c>
      <c r="F16" s="20" t="s">
        <v>350</v>
      </c>
      <c r="G16" s="20" t="s">
        <v>350</v>
      </c>
      <c r="H16" s="21" t="s">
        <v>10</v>
      </c>
      <c r="I16" s="20" t="s">
        <v>93</v>
      </c>
      <c r="J16" s="21" t="s">
        <v>14</v>
      </c>
      <c r="K16" s="21" t="s">
        <v>1235</v>
      </c>
      <c r="L16" s="21" t="s">
        <v>251</v>
      </c>
      <c r="M16" s="21" t="s">
        <v>252</v>
      </c>
    </row>
    <row r="17" spans="1:13" x14ac:dyDescent="0.3">
      <c r="A17" s="6"/>
      <c r="B17" s="6"/>
      <c r="C17" s="21"/>
      <c r="D17" s="21">
        <v>8</v>
      </c>
      <c r="E17" s="20" t="s">
        <v>1090</v>
      </c>
      <c r="F17" s="20" t="s">
        <v>351</v>
      </c>
      <c r="G17" s="20" t="s">
        <v>351</v>
      </c>
      <c r="H17" s="21" t="s">
        <v>10</v>
      </c>
      <c r="I17" s="20" t="s">
        <v>93</v>
      </c>
      <c r="J17" s="20"/>
      <c r="K17" s="21"/>
      <c r="L17" s="21" t="s">
        <v>535</v>
      </c>
      <c r="M17" s="21" t="s">
        <v>254</v>
      </c>
    </row>
    <row r="18" spans="1:13" ht="24.6" x14ac:dyDescent="0.3">
      <c r="A18" s="6"/>
      <c r="B18" s="6"/>
      <c r="C18" s="21"/>
      <c r="D18" s="21">
        <v>9</v>
      </c>
      <c r="E18" s="21" t="s">
        <v>245</v>
      </c>
      <c r="F18" s="21" t="s">
        <v>352</v>
      </c>
      <c r="G18" s="21" t="s">
        <v>352</v>
      </c>
      <c r="H18" s="21" t="s">
        <v>10</v>
      </c>
      <c r="I18" s="21" t="s">
        <v>17</v>
      </c>
      <c r="J18" s="21" t="s">
        <v>14</v>
      </c>
      <c r="K18" s="21" t="s">
        <v>1236</v>
      </c>
      <c r="L18" s="21" t="s">
        <v>814</v>
      </c>
      <c r="M18" s="21" t="s">
        <v>602</v>
      </c>
    </row>
    <row r="19" spans="1:13" s="13" customFormat="1" ht="36.6" x14ac:dyDescent="0.3">
      <c r="A19" s="6"/>
      <c r="B19" s="6"/>
      <c r="C19" s="21"/>
      <c r="D19" s="21">
        <v>10</v>
      </c>
      <c r="E19" s="21" t="s">
        <v>81</v>
      </c>
      <c r="F19" s="21" t="s">
        <v>469</v>
      </c>
      <c r="G19" s="21" t="s">
        <v>469</v>
      </c>
      <c r="H19" s="21" t="s">
        <v>10</v>
      </c>
      <c r="I19" s="21" t="s">
        <v>11</v>
      </c>
      <c r="J19" s="21" t="s">
        <v>14</v>
      </c>
      <c r="K19" s="21" t="s">
        <v>1231</v>
      </c>
      <c r="L19" s="21" t="s">
        <v>149</v>
      </c>
      <c r="M19" s="21" t="s">
        <v>150</v>
      </c>
    </row>
    <row r="20" spans="1:13" ht="48.6" x14ac:dyDescent="0.3">
      <c r="A20" s="6"/>
      <c r="B20" s="6"/>
      <c r="C20" s="21"/>
      <c r="D20" s="21">
        <v>11</v>
      </c>
      <c r="E20" s="21" t="s">
        <v>26</v>
      </c>
      <c r="F20" s="20" t="s">
        <v>470</v>
      </c>
      <c r="G20" s="20" t="s">
        <v>471</v>
      </c>
      <c r="H20" s="21" t="s">
        <v>10</v>
      </c>
      <c r="I20" s="21" t="s">
        <v>11</v>
      </c>
      <c r="J20" s="21" t="s">
        <v>14</v>
      </c>
      <c r="K20" s="21" t="s">
        <v>1228</v>
      </c>
      <c r="L20" s="21" t="s">
        <v>231</v>
      </c>
      <c r="M20" s="21" t="s">
        <v>231</v>
      </c>
    </row>
    <row r="21" spans="1:13" ht="36.6" x14ac:dyDescent="0.3">
      <c r="A21" s="6"/>
      <c r="B21" s="6"/>
      <c r="C21" s="21"/>
      <c r="D21" s="21">
        <v>12</v>
      </c>
      <c r="E21" s="21" t="s">
        <v>1197</v>
      </c>
      <c r="F21" s="21" t="s">
        <v>1148</v>
      </c>
      <c r="G21" s="21" t="s">
        <v>1148</v>
      </c>
      <c r="H21" s="21" t="s">
        <v>10</v>
      </c>
      <c r="I21" s="21" t="s">
        <v>17</v>
      </c>
      <c r="J21" s="21"/>
      <c r="K21" s="21" t="s">
        <v>1238</v>
      </c>
      <c r="L21" s="21" t="s">
        <v>89</v>
      </c>
      <c r="M21" s="21" t="s">
        <v>151</v>
      </c>
    </row>
    <row r="22" spans="1:13" x14ac:dyDescent="0.3">
      <c r="A22" s="6"/>
      <c r="B22" s="6"/>
      <c r="C22" s="21"/>
      <c r="D22" s="21">
        <v>13</v>
      </c>
      <c r="E22" s="21" t="s">
        <v>1149</v>
      </c>
      <c r="F22" s="21" t="s">
        <v>1501</v>
      </c>
      <c r="G22" s="21" t="s">
        <v>1153</v>
      </c>
      <c r="H22" s="21" t="s">
        <v>10</v>
      </c>
      <c r="I22" s="21" t="s">
        <v>17</v>
      </c>
      <c r="J22" s="21"/>
      <c r="K22" s="21"/>
      <c r="L22" s="21"/>
      <c r="M22" s="21"/>
    </row>
    <row r="23" spans="1:13" ht="24.6" x14ac:dyDescent="0.3">
      <c r="A23" s="6"/>
      <c r="B23" s="6"/>
      <c r="C23" s="21"/>
      <c r="D23" s="21">
        <v>14</v>
      </c>
      <c r="E23" s="21" t="s">
        <v>36</v>
      </c>
      <c r="F23" s="21" t="s">
        <v>491</v>
      </c>
      <c r="G23" s="21" t="s">
        <v>492</v>
      </c>
      <c r="H23" s="21" t="s">
        <v>10</v>
      </c>
      <c r="I23" s="21" t="s">
        <v>17</v>
      </c>
      <c r="J23" s="21" t="s">
        <v>14</v>
      </c>
      <c r="K23" s="21" t="s">
        <v>1239</v>
      </c>
      <c r="L23" s="21" t="s">
        <v>75</v>
      </c>
      <c r="M23" s="21" t="s">
        <v>152</v>
      </c>
    </row>
    <row r="24" spans="1:13" ht="24.6" x14ac:dyDescent="0.3">
      <c r="A24" s="6"/>
      <c r="B24" s="6"/>
      <c r="C24" s="21"/>
      <c r="D24" s="21">
        <v>15</v>
      </c>
      <c r="E24" s="21" t="s">
        <v>35</v>
      </c>
      <c r="F24" s="21" t="s">
        <v>489</v>
      </c>
      <c r="G24" s="21" t="s">
        <v>490</v>
      </c>
      <c r="H24" s="21" t="s">
        <v>10</v>
      </c>
      <c r="I24" s="21" t="s">
        <v>11</v>
      </c>
      <c r="J24" s="21" t="s">
        <v>14</v>
      </c>
      <c r="K24" s="21" t="s">
        <v>1240</v>
      </c>
      <c r="L24" s="21" t="s">
        <v>998</v>
      </c>
      <c r="M24" s="21" t="s">
        <v>153</v>
      </c>
    </row>
    <row r="25" spans="1:13" ht="24.6" x14ac:dyDescent="0.3">
      <c r="A25" s="6"/>
      <c r="B25" s="6"/>
      <c r="C25" s="21"/>
      <c r="D25" s="21">
        <v>16</v>
      </c>
      <c r="E25" s="21" t="s">
        <v>37</v>
      </c>
      <c r="F25" s="21" t="s">
        <v>472</v>
      </c>
      <c r="G25" s="21" t="s">
        <v>472</v>
      </c>
      <c r="H25" s="21" t="s">
        <v>144</v>
      </c>
      <c r="I25" s="21" t="s">
        <v>17</v>
      </c>
      <c r="J25" s="21"/>
      <c r="K25" s="21"/>
      <c r="L25" s="21" t="s">
        <v>90</v>
      </c>
      <c r="M25" s="21" t="s">
        <v>154</v>
      </c>
    </row>
    <row r="26" spans="1:13" x14ac:dyDescent="0.3">
      <c r="A26" s="6"/>
      <c r="B26" s="6"/>
      <c r="C26" s="21"/>
      <c r="D26" s="21">
        <v>17</v>
      </c>
      <c r="E26" s="21" t="s">
        <v>38</v>
      </c>
      <c r="F26" s="21" t="s">
        <v>473</v>
      </c>
      <c r="G26" s="21" t="s">
        <v>473</v>
      </c>
      <c r="H26" s="21" t="s">
        <v>27</v>
      </c>
      <c r="I26" s="21" t="s">
        <v>17</v>
      </c>
      <c r="J26" s="21"/>
      <c r="K26" s="21"/>
      <c r="L26" s="21" t="s">
        <v>76</v>
      </c>
      <c r="M26" s="21" t="s">
        <v>155</v>
      </c>
    </row>
    <row r="27" spans="1:13" ht="36.6" x14ac:dyDescent="0.3">
      <c r="A27" s="6"/>
      <c r="B27" s="6"/>
      <c r="C27" s="21"/>
      <c r="D27" s="21">
        <v>18</v>
      </c>
      <c r="E27" s="21" t="s">
        <v>1106</v>
      </c>
      <c r="F27" s="20" t="s">
        <v>907</v>
      </c>
      <c r="G27" s="20" t="s">
        <v>908</v>
      </c>
      <c r="H27" s="21" t="s">
        <v>10</v>
      </c>
      <c r="I27" s="21" t="s">
        <v>17</v>
      </c>
      <c r="J27" s="21" t="s">
        <v>14</v>
      </c>
      <c r="K27" s="21" t="s">
        <v>1240</v>
      </c>
      <c r="L27" s="21" t="s">
        <v>848</v>
      </c>
      <c r="M27" s="21" t="s">
        <v>821</v>
      </c>
    </row>
    <row r="28" spans="1:13" ht="36.6" x14ac:dyDescent="0.3">
      <c r="A28" s="6"/>
      <c r="B28" s="6"/>
      <c r="C28" s="21"/>
      <c r="D28" s="21">
        <v>19</v>
      </c>
      <c r="E28" s="21" t="s">
        <v>29</v>
      </c>
      <c r="F28" s="20" t="s">
        <v>474</v>
      </c>
      <c r="G28" s="20" t="s">
        <v>474</v>
      </c>
      <c r="H28" s="21" t="s">
        <v>10</v>
      </c>
      <c r="I28" s="21" t="s">
        <v>11</v>
      </c>
      <c r="J28" s="21" t="s">
        <v>14</v>
      </c>
      <c r="K28" s="21" t="s">
        <v>1246</v>
      </c>
      <c r="L28" s="21" t="s">
        <v>853</v>
      </c>
      <c r="M28" s="21" t="s">
        <v>156</v>
      </c>
    </row>
    <row r="29" spans="1:13" ht="36.6" x14ac:dyDescent="0.3">
      <c r="A29" s="6"/>
      <c r="B29" s="6"/>
      <c r="C29" s="21"/>
      <c r="D29" s="21">
        <v>20</v>
      </c>
      <c r="E29" s="21" t="s">
        <v>30</v>
      </c>
      <c r="F29" s="20" t="s">
        <v>475</v>
      </c>
      <c r="G29" s="20" t="s">
        <v>481</v>
      </c>
      <c r="H29" s="21" t="s">
        <v>10</v>
      </c>
      <c r="I29" s="21" t="s">
        <v>17</v>
      </c>
      <c r="J29" s="21" t="s">
        <v>14</v>
      </c>
      <c r="K29" s="21" t="s">
        <v>1247</v>
      </c>
      <c r="L29" s="21" t="s">
        <v>999</v>
      </c>
      <c r="M29" s="21" t="s">
        <v>157</v>
      </c>
    </row>
    <row r="30" spans="1:13" ht="48" x14ac:dyDescent="0.3">
      <c r="A30" s="6"/>
      <c r="B30" s="6"/>
      <c r="C30" s="21"/>
      <c r="D30" s="21">
        <v>21</v>
      </c>
      <c r="E30" s="54" t="s">
        <v>1425</v>
      </c>
      <c r="F30" s="54" t="s">
        <v>1428</v>
      </c>
      <c r="G30" s="54" t="s">
        <v>1429</v>
      </c>
      <c r="H30" s="54" t="s">
        <v>10</v>
      </c>
      <c r="I30" s="54" t="s">
        <v>17</v>
      </c>
      <c r="J30" s="54" t="s">
        <v>14</v>
      </c>
      <c r="K30" s="54" t="s">
        <v>1432</v>
      </c>
      <c r="L30" s="54" t="s">
        <v>1435</v>
      </c>
      <c r="M30" s="29" t="s">
        <v>1436</v>
      </c>
    </row>
    <row r="31" spans="1:13" ht="24.6" x14ac:dyDescent="0.3">
      <c r="A31" s="5"/>
      <c r="B31" s="5"/>
      <c r="C31" s="20"/>
      <c r="D31" s="21">
        <v>22</v>
      </c>
      <c r="E31" s="20" t="s">
        <v>835</v>
      </c>
      <c r="F31" s="20" t="s">
        <v>906</v>
      </c>
      <c r="G31" s="20" t="s">
        <v>906</v>
      </c>
      <c r="H31" s="20" t="s">
        <v>836</v>
      </c>
      <c r="I31" s="20" t="s">
        <v>11</v>
      </c>
      <c r="J31" s="20" t="s">
        <v>14</v>
      </c>
      <c r="K31" s="21" t="s">
        <v>1248</v>
      </c>
      <c r="L31" s="21" t="s">
        <v>994</v>
      </c>
      <c r="M31" s="21" t="s">
        <v>994</v>
      </c>
    </row>
    <row r="32" spans="1:13" ht="24.6" x14ac:dyDescent="0.3">
      <c r="A32" s="6"/>
      <c r="B32" s="6"/>
      <c r="C32" s="21"/>
      <c r="D32" s="21">
        <v>23</v>
      </c>
      <c r="E32" s="20" t="s">
        <v>827</v>
      </c>
      <c r="F32" s="20" t="s">
        <v>831</v>
      </c>
      <c r="G32" s="20" t="s">
        <v>832</v>
      </c>
      <c r="H32" s="20" t="s">
        <v>10</v>
      </c>
      <c r="I32" s="20" t="s">
        <v>17</v>
      </c>
      <c r="J32" s="20" t="s">
        <v>14</v>
      </c>
      <c r="K32" s="21" t="s">
        <v>1249</v>
      </c>
      <c r="L32" s="20" t="s">
        <v>1000</v>
      </c>
      <c r="M32" s="20" t="s">
        <v>828</v>
      </c>
    </row>
    <row r="33" spans="1:13" ht="36.6" x14ac:dyDescent="0.3">
      <c r="A33" s="6"/>
      <c r="B33" s="6"/>
      <c r="C33" s="21"/>
      <c r="D33" s="21">
        <v>24</v>
      </c>
      <c r="E33" s="20" t="s">
        <v>1451</v>
      </c>
      <c r="F33" s="20" t="s">
        <v>1463</v>
      </c>
      <c r="G33" s="20" t="s">
        <v>1464</v>
      </c>
      <c r="H33" s="20" t="s">
        <v>10</v>
      </c>
      <c r="I33" s="20" t="s">
        <v>17</v>
      </c>
      <c r="J33" s="20" t="s">
        <v>14</v>
      </c>
      <c r="K33" s="58" t="s">
        <v>1450</v>
      </c>
      <c r="L33" s="21" t="s">
        <v>1494</v>
      </c>
      <c r="M33" s="21"/>
    </row>
    <row r="34" spans="1:13" ht="84.6" x14ac:dyDescent="0.3">
      <c r="A34" s="6"/>
      <c r="B34" s="6"/>
      <c r="C34" s="21"/>
      <c r="D34" s="21">
        <v>25</v>
      </c>
      <c r="E34" s="20" t="s">
        <v>1454</v>
      </c>
      <c r="F34" s="20" t="s">
        <v>1465</v>
      </c>
      <c r="G34" s="20" t="s">
        <v>1466</v>
      </c>
      <c r="H34" s="20" t="s">
        <v>10</v>
      </c>
      <c r="I34" s="20" t="s">
        <v>17</v>
      </c>
      <c r="J34" s="20" t="s">
        <v>14</v>
      </c>
      <c r="K34" s="58" t="s">
        <v>1449</v>
      </c>
      <c r="L34" s="6" t="s">
        <v>1507</v>
      </c>
      <c r="M34" s="21"/>
    </row>
    <row r="35" spans="1:13" ht="60.6" x14ac:dyDescent="0.3">
      <c r="A35" s="6"/>
      <c r="B35" s="6"/>
      <c r="C35" s="21"/>
      <c r="D35" s="21">
        <v>26</v>
      </c>
      <c r="E35" s="20" t="s">
        <v>603</v>
      </c>
      <c r="F35" s="20" t="s">
        <v>624</v>
      </c>
      <c r="G35" s="20" t="s">
        <v>630</v>
      </c>
      <c r="H35" s="21" t="s">
        <v>10</v>
      </c>
      <c r="I35" s="21" t="s">
        <v>17</v>
      </c>
      <c r="J35" s="21" t="s">
        <v>14</v>
      </c>
      <c r="K35" s="21" t="s">
        <v>1250</v>
      </c>
      <c r="L35" s="21" t="s">
        <v>1001</v>
      </c>
      <c r="M35" s="21" t="s">
        <v>599</v>
      </c>
    </row>
    <row r="36" spans="1:13" ht="24.6" x14ac:dyDescent="0.3">
      <c r="A36" s="6"/>
      <c r="B36" s="6"/>
      <c r="C36" s="21"/>
      <c r="D36" s="21">
        <v>27</v>
      </c>
      <c r="E36" s="20" t="s">
        <v>607</v>
      </c>
      <c r="F36" s="20" t="s">
        <v>625</v>
      </c>
      <c r="G36" s="20" t="s">
        <v>625</v>
      </c>
      <c r="H36" s="21" t="s">
        <v>10</v>
      </c>
      <c r="I36" s="21" t="s">
        <v>17</v>
      </c>
      <c r="J36" s="21" t="s">
        <v>14</v>
      </c>
      <c r="K36" s="21" t="s">
        <v>1251</v>
      </c>
      <c r="L36" s="21" t="s">
        <v>854</v>
      </c>
      <c r="M36" s="21" t="s">
        <v>131</v>
      </c>
    </row>
    <row r="37" spans="1:13" ht="60.6" x14ac:dyDescent="0.3">
      <c r="A37" s="6"/>
      <c r="B37" s="6"/>
      <c r="C37" s="21"/>
      <c r="D37" s="21">
        <v>28</v>
      </c>
      <c r="E37" s="20" t="s">
        <v>917</v>
      </c>
      <c r="F37" s="20" t="s">
        <v>626</v>
      </c>
      <c r="G37" s="20" t="s">
        <v>626</v>
      </c>
      <c r="H37" s="21" t="s">
        <v>10</v>
      </c>
      <c r="I37" s="21" t="s">
        <v>11</v>
      </c>
      <c r="J37" s="21" t="s">
        <v>14</v>
      </c>
      <c r="K37" s="21" t="s">
        <v>1252</v>
      </c>
      <c r="L37" s="21" t="s">
        <v>855</v>
      </c>
      <c r="M37" s="21" t="s">
        <v>132</v>
      </c>
    </row>
    <row r="38" spans="1:13" ht="24.6" x14ac:dyDescent="0.3">
      <c r="A38" s="6"/>
      <c r="B38" s="6"/>
      <c r="C38" s="21"/>
      <c r="D38" s="21">
        <v>29</v>
      </c>
      <c r="E38" s="21" t="s">
        <v>31</v>
      </c>
      <c r="F38" s="20" t="s">
        <v>476</v>
      </c>
      <c r="G38" s="20" t="s">
        <v>476</v>
      </c>
      <c r="H38" s="21" t="s">
        <v>10</v>
      </c>
      <c r="I38" s="21" t="s">
        <v>11</v>
      </c>
      <c r="J38" s="21" t="s">
        <v>14</v>
      </c>
      <c r="K38" s="21" t="s">
        <v>1253</v>
      </c>
      <c r="L38" s="21" t="s">
        <v>856</v>
      </c>
      <c r="M38" s="21" t="s">
        <v>77</v>
      </c>
    </row>
    <row r="39" spans="1:13" ht="24.6" x14ac:dyDescent="0.3">
      <c r="A39" s="6"/>
      <c r="B39" s="6"/>
      <c r="C39" s="21"/>
      <c r="D39" s="21">
        <v>30</v>
      </c>
      <c r="E39" s="20" t="s">
        <v>1457</v>
      </c>
      <c r="F39" s="20" t="s">
        <v>1467</v>
      </c>
      <c r="G39" s="20" t="s">
        <v>1468</v>
      </c>
      <c r="H39" s="20" t="s">
        <v>10</v>
      </c>
      <c r="I39" s="21" t="s">
        <v>17</v>
      </c>
      <c r="J39" s="20" t="s">
        <v>14</v>
      </c>
      <c r="K39" s="58" t="s">
        <v>1450</v>
      </c>
      <c r="L39" s="21" t="s">
        <v>1481</v>
      </c>
      <c r="M39" s="21"/>
    </row>
    <row r="40" spans="1:13" ht="82.5" customHeight="1" x14ac:dyDescent="0.3">
      <c r="A40" s="6"/>
      <c r="B40" s="6"/>
      <c r="C40" s="21"/>
      <c r="D40" s="21">
        <v>31</v>
      </c>
      <c r="E40" s="20" t="s">
        <v>1460</v>
      </c>
      <c r="F40" s="20" t="s">
        <v>1469</v>
      </c>
      <c r="G40" s="20" t="s">
        <v>1462</v>
      </c>
      <c r="H40" s="20" t="s">
        <v>10</v>
      </c>
      <c r="I40" s="21" t="s">
        <v>17</v>
      </c>
      <c r="J40" s="20" t="s">
        <v>14</v>
      </c>
      <c r="K40" s="58" t="s">
        <v>1449</v>
      </c>
      <c r="L40" s="6" t="s">
        <v>1510</v>
      </c>
      <c r="M40" s="21"/>
    </row>
    <row r="41" spans="1:13" ht="36.6" x14ac:dyDescent="0.3">
      <c r="A41" s="6"/>
      <c r="B41" s="6"/>
      <c r="C41" s="21"/>
      <c r="D41" s="21">
        <v>32</v>
      </c>
      <c r="E41" s="21" t="s">
        <v>32</v>
      </c>
      <c r="F41" s="20" t="s">
        <v>477</v>
      </c>
      <c r="G41" s="20" t="s">
        <v>477</v>
      </c>
      <c r="H41" s="21" t="s">
        <v>13</v>
      </c>
      <c r="I41" s="21" t="s">
        <v>17</v>
      </c>
      <c r="J41" s="21"/>
      <c r="K41" s="21"/>
      <c r="L41" s="21" t="s">
        <v>857</v>
      </c>
      <c r="M41" s="21" t="s">
        <v>32</v>
      </c>
    </row>
    <row r="42" spans="1:13" ht="24.6" x14ac:dyDescent="0.3">
      <c r="A42" s="6"/>
      <c r="B42" s="6"/>
      <c r="C42" s="21"/>
      <c r="D42" s="21">
        <v>33</v>
      </c>
      <c r="E42" s="21" t="s">
        <v>33</v>
      </c>
      <c r="F42" s="20" t="s">
        <v>478</v>
      </c>
      <c r="G42" s="20" t="s">
        <v>482</v>
      </c>
      <c r="H42" s="21" t="s">
        <v>13</v>
      </c>
      <c r="I42" s="21" t="s">
        <v>17</v>
      </c>
      <c r="J42" s="21" t="s">
        <v>14</v>
      </c>
      <c r="K42" s="21" t="s">
        <v>1254</v>
      </c>
      <c r="L42" s="21" t="s">
        <v>1216</v>
      </c>
      <c r="M42" s="21" t="s">
        <v>33</v>
      </c>
    </row>
    <row r="43" spans="1:13" ht="24.6" x14ac:dyDescent="0.3">
      <c r="A43" s="6"/>
      <c r="B43" s="6"/>
      <c r="C43" s="21"/>
      <c r="D43" s="21">
        <v>34</v>
      </c>
      <c r="E43" s="21" t="s">
        <v>34</v>
      </c>
      <c r="F43" s="20" t="s">
        <v>479</v>
      </c>
      <c r="G43" s="20" t="s">
        <v>483</v>
      </c>
      <c r="H43" s="21" t="s">
        <v>13</v>
      </c>
      <c r="I43" s="21" t="s">
        <v>17</v>
      </c>
      <c r="J43" s="21"/>
      <c r="K43" s="21"/>
      <c r="L43" s="21" t="s">
        <v>1226</v>
      </c>
      <c r="M43" s="21" t="s">
        <v>133</v>
      </c>
    </row>
    <row r="44" spans="1:13" ht="24.6" x14ac:dyDescent="0.3">
      <c r="A44" s="6"/>
      <c r="B44" s="6"/>
      <c r="C44" s="21"/>
      <c r="D44" s="21">
        <v>35</v>
      </c>
      <c r="E44" s="21" t="s">
        <v>92</v>
      </c>
      <c r="F44" s="20" t="s">
        <v>480</v>
      </c>
      <c r="G44" s="20" t="s">
        <v>484</v>
      </c>
      <c r="H44" s="21" t="s">
        <v>10</v>
      </c>
      <c r="I44" s="21" t="s">
        <v>17</v>
      </c>
      <c r="J44" s="21" t="s">
        <v>14</v>
      </c>
      <c r="K44" s="21" t="s">
        <v>1255</v>
      </c>
      <c r="L44" s="21" t="s">
        <v>91</v>
      </c>
      <c r="M44" s="21" t="s">
        <v>92</v>
      </c>
    </row>
    <row r="45" spans="1:13" ht="24.6" x14ac:dyDescent="0.3">
      <c r="A45" s="5"/>
      <c r="B45" s="5"/>
      <c r="C45" s="20"/>
      <c r="D45" s="21">
        <v>36</v>
      </c>
      <c r="E45" s="20" t="s">
        <v>852</v>
      </c>
      <c r="F45" s="20" t="s">
        <v>918</v>
      </c>
      <c r="G45" s="20" t="s">
        <v>628</v>
      </c>
      <c r="H45" s="20" t="s">
        <v>10</v>
      </c>
      <c r="I45" s="20" t="s">
        <v>11</v>
      </c>
      <c r="J45" s="20" t="s">
        <v>14</v>
      </c>
      <c r="K45" s="21" t="s">
        <v>1256</v>
      </c>
      <c r="L45" s="21" t="s">
        <v>1210</v>
      </c>
      <c r="M45" s="21"/>
    </row>
    <row r="46" spans="1:13" x14ac:dyDescent="0.3">
      <c r="A46" s="5"/>
      <c r="B46" s="5"/>
      <c r="C46" s="20"/>
      <c r="D46" s="21">
        <v>37</v>
      </c>
      <c r="E46" s="20" t="s">
        <v>583</v>
      </c>
      <c r="F46" s="20" t="s">
        <v>627</v>
      </c>
      <c r="G46" s="20" t="s">
        <v>629</v>
      </c>
      <c r="H46" s="20" t="s">
        <v>13</v>
      </c>
      <c r="I46" s="20" t="s">
        <v>17</v>
      </c>
      <c r="J46" s="20"/>
      <c r="K46" s="21"/>
      <c r="L46" s="21" t="s">
        <v>586</v>
      </c>
      <c r="M46" s="21"/>
    </row>
    <row r="47" spans="1:13" ht="24.6" x14ac:dyDescent="0.3">
      <c r="A47" s="6"/>
      <c r="B47" s="6"/>
      <c r="C47" s="21"/>
      <c r="D47" s="21">
        <v>38</v>
      </c>
      <c r="E47" s="21" t="s">
        <v>1116</v>
      </c>
      <c r="F47" s="21" t="s">
        <v>808</v>
      </c>
      <c r="G47" s="21" t="s">
        <v>791</v>
      </c>
      <c r="H47" s="20" t="s">
        <v>13</v>
      </c>
      <c r="I47" s="21" t="s">
        <v>84</v>
      </c>
      <c r="J47" s="21"/>
      <c r="K47" s="21"/>
      <c r="L47" s="21" t="s">
        <v>219</v>
      </c>
      <c r="M47" s="21" t="s">
        <v>219</v>
      </c>
    </row>
    <row r="48" spans="1:13" ht="48.6" x14ac:dyDescent="0.3">
      <c r="A48" s="6"/>
      <c r="B48" s="6"/>
      <c r="C48" s="21"/>
      <c r="D48" s="21">
        <v>39</v>
      </c>
      <c r="E48" s="21" t="s">
        <v>1117</v>
      </c>
      <c r="F48" s="20" t="s">
        <v>762</v>
      </c>
      <c r="G48" s="20" t="s">
        <v>774</v>
      </c>
      <c r="H48" s="20" t="s">
        <v>13</v>
      </c>
      <c r="I48" s="21" t="s">
        <v>84</v>
      </c>
      <c r="J48" s="21"/>
      <c r="K48" s="21"/>
      <c r="L48" s="21" t="s">
        <v>218</v>
      </c>
      <c r="M48" s="21" t="s">
        <v>218</v>
      </c>
    </row>
    <row r="49" spans="1:13" s="13" customFormat="1" x14ac:dyDescent="0.3">
      <c r="A49" s="6"/>
      <c r="B49" s="6"/>
      <c r="C49" s="21"/>
      <c r="D49" s="21">
        <v>40</v>
      </c>
      <c r="E49" s="21" t="s">
        <v>612</v>
      </c>
      <c r="F49" s="20" t="s">
        <v>909</v>
      </c>
      <c r="G49" s="20" t="s">
        <v>910</v>
      </c>
      <c r="H49" s="29" t="s">
        <v>1287</v>
      </c>
      <c r="I49" s="21" t="s">
        <v>84</v>
      </c>
      <c r="J49" s="21" t="s">
        <v>1301</v>
      </c>
      <c r="K49" s="21"/>
      <c r="L49" s="21" t="s">
        <v>815</v>
      </c>
      <c r="M49" s="21" t="s">
        <v>612</v>
      </c>
    </row>
    <row r="50" spans="1:13" x14ac:dyDescent="0.3">
      <c r="A50" s="6"/>
      <c r="B50" s="6"/>
      <c r="C50" s="21"/>
      <c r="D50" s="21">
        <v>41</v>
      </c>
      <c r="E50" s="21" t="s">
        <v>117</v>
      </c>
      <c r="F50" s="20" t="s">
        <v>912</v>
      </c>
      <c r="G50" s="21" t="s">
        <v>911</v>
      </c>
      <c r="H50" s="29" t="s">
        <v>1287</v>
      </c>
      <c r="I50" s="21" t="s">
        <v>84</v>
      </c>
      <c r="J50" s="2" t="s">
        <v>1301</v>
      </c>
      <c r="K50" s="21"/>
      <c r="L50" s="21" t="s">
        <v>818</v>
      </c>
      <c r="M50" s="21" t="s">
        <v>117</v>
      </c>
    </row>
    <row r="51" spans="1:13" ht="24.6" x14ac:dyDescent="0.3">
      <c r="A51" s="6"/>
      <c r="B51" s="6"/>
      <c r="C51" s="21"/>
      <c r="D51" s="21">
        <v>42</v>
      </c>
      <c r="E51" s="21" t="s">
        <v>39</v>
      </c>
      <c r="F51" s="20" t="s">
        <v>400</v>
      </c>
      <c r="G51" s="20" t="s">
        <v>401</v>
      </c>
      <c r="H51" s="21" t="s">
        <v>10</v>
      </c>
      <c r="I51" s="21" t="s">
        <v>93</v>
      </c>
      <c r="J51" s="21" t="s">
        <v>14</v>
      </c>
      <c r="K51" s="21" t="s">
        <v>1237</v>
      </c>
      <c r="L51" s="21" t="s">
        <v>158</v>
      </c>
      <c r="M51" s="21" t="s">
        <v>158</v>
      </c>
    </row>
    <row r="52" spans="1:13" x14ac:dyDescent="0.3">
      <c r="A52" s="6"/>
      <c r="B52" s="2"/>
      <c r="C52" s="21"/>
      <c r="D52" s="21">
        <v>43</v>
      </c>
      <c r="E52" s="31" t="s">
        <v>589</v>
      </c>
      <c r="F52" s="33" t="s">
        <v>595</v>
      </c>
      <c r="G52" s="33" t="s">
        <v>595</v>
      </c>
      <c r="H52" s="31" t="s">
        <v>10</v>
      </c>
      <c r="I52" s="31" t="s">
        <v>93</v>
      </c>
      <c r="J52" s="32"/>
      <c r="K52" s="21"/>
      <c r="L52" s="31" t="s">
        <v>858</v>
      </c>
      <c r="M52" s="31" t="s">
        <v>858</v>
      </c>
    </row>
    <row r="53" spans="1:13" ht="24.6" x14ac:dyDescent="0.3">
      <c r="A53" s="6"/>
      <c r="B53" s="6"/>
      <c r="C53" s="21"/>
      <c r="D53" s="21">
        <v>44</v>
      </c>
      <c r="E53" s="20" t="s">
        <v>1086</v>
      </c>
      <c r="F53" s="20" t="s">
        <v>330</v>
      </c>
      <c r="G53" s="20" t="s">
        <v>332</v>
      </c>
      <c r="H53" s="31" t="s">
        <v>10</v>
      </c>
      <c r="I53" s="20" t="s">
        <v>84</v>
      </c>
      <c r="J53" s="21" t="s">
        <v>14</v>
      </c>
      <c r="K53" s="21" t="s">
        <v>1237</v>
      </c>
      <c r="L53" s="21" t="s">
        <v>512</v>
      </c>
      <c r="M53" s="21" t="s">
        <v>512</v>
      </c>
    </row>
    <row r="54" spans="1:13" ht="36.6" x14ac:dyDescent="0.3">
      <c r="A54" s="6"/>
      <c r="B54" s="6"/>
      <c r="C54" s="21"/>
      <c r="D54" s="21">
        <v>45</v>
      </c>
      <c r="E54" s="20" t="s">
        <v>1087</v>
      </c>
      <c r="F54" s="20" t="s">
        <v>809</v>
      </c>
      <c r="G54" s="20" t="s">
        <v>792</v>
      </c>
      <c r="H54" s="20" t="s">
        <v>13</v>
      </c>
      <c r="I54" s="20" t="s">
        <v>84</v>
      </c>
      <c r="J54" s="20"/>
      <c r="K54" s="21"/>
      <c r="L54" s="21" t="s">
        <v>255</v>
      </c>
      <c r="M54" s="21" t="s">
        <v>256</v>
      </c>
    </row>
    <row r="55" spans="1:13" ht="24.6" x14ac:dyDescent="0.3">
      <c r="A55" s="6"/>
      <c r="B55" s="6"/>
      <c r="C55" s="21"/>
      <c r="D55" s="21">
        <v>46</v>
      </c>
      <c r="E55" s="20" t="s">
        <v>1088</v>
      </c>
      <c r="F55" s="20" t="s">
        <v>763</v>
      </c>
      <c r="G55" s="20" t="s">
        <v>775</v>
      </c>
      <c r="H55" s="20" t="s">
        <v>13</v>
      </c>
      <c r="I55" s="20" t="s">
        <v>84</v>
      </c>
      <c r="J55" s="20"/>
      <c r="K55" s="21"/>
      <c r="L55" s="21" t="s">
        <v>257</v>
      </c>
      <c r="M55" s="21" t="s">
        <v>258</v>
      </c>
    </row>
    <row r="56" spans="1:13" x14ac:dyDescent="0.3">
      <c r="A56" s="6"/>
      <c r="B56" s="6"/>
      <c r="C56" s="21"/>
      <c r="D56" s="21">
        <v>47</v>
      </c>
      <c r="E56" s="20" t="s">
        <v>685</v>
      </c>
      <c r="F56" s="20" t="s">
        <v>916</v>
      </c>
      <c r="G56" s="20" t="s">
        <v>915</v>
      </c>
      <c r="H56" s="29" t="s">
        <v>1287</v>
      </c>
      <c r="I56" s="21" t="s">
        <v>84</v>
      </c>
      <c r="J56" s="21" t="s">
        <v>1301</v>
      </c>
      <c r="K56" s="21"/>
      <c r="L56" s="21" t="s">
        <v>816</v>
      </c>
      <c r="M56" s="21" t="s">
        <v>259</v>
      </c>
    </row>
    <row r="57" spans="1:13" s="13" customFormat="1" x14ac:dyDescent="0.3">
      <c r="A57" s="6"/>
      <c r="B57" s="6"/>
      <c r="C57" s="21"/>
      <c r="D57" s="21">
        <v>48</v>
      </c>
      <c r="E57" s="20" t="s">
        <v>686</v>
      </c>
      <c r="F57" s="20" t="s">
        <v>913</v>
      </c>
      <c r="G57" s="21" t="s">
        <v>914</v>
      </c>
      <c r="H57" s="29" t="s">
        <v>1287</v>
      </c>
      <c r="I57" s="21" t="s">
        <v>84</v>
      </c>
      <c r="J57" s="2" t="s">
        <v>1301</v>
      </c>
      <c r="K57" s="21"/>
      <c r="L57" s="21" t="s">
        <v>817</v>
      </c>
      <c r="M57" s="21"/>
    </row>
    <row r="58" spans="1:13" ht="24.6" x14ac:dyDescent="0.3">
      <c r="A58" s="6"/>
      <c r="B58" s="6"/>
      <c r="C58" s="21"/>
      <c r="D58" s="21">
        <v>49</v>
      </c>
      <c r="E58" s="20" t="s">
        <v>676</v>
      </c>
      <c r="F58" s="20" t="s">
        <v>870</v>
      </c>
      <c r="G58" s="20" t="s">
        <v>871</v>
      </c>
      <c r="H58" s="21" t="s">
        <v>10</v>
      </c>
      <c r="I58" s="20" t="s">
        <v>93</v>
      </c>
      <c r="J58" s="20" t="s">
        <v>14</v>
      </c>
      <c r="K58" s="21" t="s">
        <v>1231</v>
      </c>
      <c r="L58" s="21" t="s">
        <v>682</v>
      </c>
      <c r="M58" s="20"/>
    </row>
    <row r="59" spans="1:13" ht="24.6" x14ac:dyDescent="0.3">
      <c r="A59" s="6"/>
      <c r="B59" s="6"/>
      <c r="C59" s="21"/>
      <c r="D59" s="21">
        <v>50</v>
      </c>
      <c r="E59" s="21" t="s">
        <v>244</v>
      </c>
      <c r="F59" s="21" t="s">
        <v>331</v>
      </c>
      <c r="G59" s="21" t="s">
        <v>333</v>
      </c>
      <c r="H59" s="21" t="s">
        <v>10</v>
      </c>
      <c r="I59" s="21" t="s">
        <v>84</v>
      </c>
      <c r="J59" s="21" t="s">
        <v>14</v>
      </c>
      <c r="K59" s="6" t="s">
        <v>1233</v>
      </c>
      <c r="L59" s="21" t="s">
        <v>244</v>
      </c>
      <c r="M59" s="21" t="s">
        <v>244</v>
      </c>
    </row>
    <row r="60" spans="1:13" ht="24.6" x14ac:dyDescent="0.3">
      <c r="A60" s="6"/>
      <c r="B60" s="6"/>
      <c r="C60" s="21"/>
      <c r="D60" s="21">
        <v>51</v>
      </c>
      <c r="E60" s="21" t="s">
        <v>1307</v>
      </c>
      <c r="F60" s="21" t="s">
        <v>1316</v>
      </c>
      <c r="G60" s="20" t="s">
        <v>1321</v>
      </c>
      <c r="H60" s="21" t="s">
        <v>10</v>
      </c>
      <c r="I60" s="21" t="s">
        <v>1309</v>
      </c>
      <c r="J60" s="21" t="s">
        <v>14</v>
      </c>
      <c r="K60" s="21" t="s">
        <v>1231</v>
      </c>
      <c r="L60" s="21" t="s">
        <v>1308</v>
      </c>
      <c r="M60" s="21" t="s">
        <v>1308</v>
      </c>
    </row>
    <row r="61" spans="1:13" ht="24.6" x14ac:dyDescent="0.3">
      <c r="A61" s="6"/>
      <c r="B61" s="6"/>
      <c r="C61" s="21"/>
      <c r="D61" s="21">
        <v>52</v>
      </c>
      <c r="E61" s="21" t="s">
        <v>529</v>
      </c>
      <c r="F61" s="21" t="s">
        <v>530</v>
      </c>
      <c r="G61" s="21" t="s">
        <v>531</v>
      </c>
      <c r="H61" s="21" t="s">
        <v>10</v>
      </c>
      <c r="I61" s="21" t="s">
        <v>17</v>
      </c>
      <c r="J61" s="21" t="s">
        <v>14</v>
      </c>
      <c r="K61" s="21" t="s">
        <v>1503</v>
      </c>
      <c r="L61" s="21" t="s">
        <v>532</v>
      </c>
      <c r="M61" s="21" t="s">
        <v>533</v>
      </c>
    </row>
    <row r="62" spans="1:13" ht="36.6" x14ac:dyDescent="0.3">
      <c r="A62" s="21"/>
      <c r="B62" s="21"/>
      <c r="C62" s="21"/>
      <c r="D62" s="21">
        <v>53</v>
      </c>
      <c r="E62" s="21" t="s">
        <v>1328</v>
      </c>
      <c r="F62" s="46" t="s">
        <v>1400</v>
      </c>
      <c r="G62" s="21" t="s">
        <v>1401</v>
      </c>
      <c r="H62" s="21" t="s">
        <v>1295</v>
      </c>
      <c r="I62" s="21" t="s">
        <v>84</v>
      </c>
      <c r="J62" s="21"/>
      <c r="K62" s="21"/>
      <c r="L62" s="21" t="s">
        <v>1329</v>
      </c>
      <c r="M62" s="21" t="s">
        <v>1330</v>
      </c>
    </row>
    <row r="63" spans="1:13" ht="36.6" x14ac:dyDescent="0.3">
      <c r="A63" s="21"/>
      <c r="B63" s="21"/>
      <c r="C63" s="21"/>
      <c r="D63" s="21">
        <v>54</v>
      </c>
      <c r="E63" s="21" t="s">
        <v>1331</v>
      </c>
      <c r="F63" s="46" t="s">
        <v>1402</v>
      </c>
      <c r="G63" s="21" t="s">
        <v>1403</v>
      </c>
      <c r="H63" s="21" t="s">
        <v>1295</v>
      </c>
      <c r="I63" s="21" t="s">
        <v>84</v>
      </c>
      <c r="J63" s="21"/>
      <c r="K63" s="21"/>
      <c r="L63" s="21" t="s">
        <v>1332</v>
      </c>
      <c r="M63" s="21" t="s">
        <v>1333</v>
      </c>
    </row>
    <row r="64" spans="1:13" ht="36.6" x14ac:dyDescent="0.3">
      <c r="A64" s="21"/>
      <c r="B64" s="21"/>
      <c r="C64" s="21"/>
      <c r="D64" s="21">
        <v>55</v>
      </c>
      <c r="E64" s="21" t="s">
        <v>1334</v>
      </c>
      <c r="F64" s="46" t="s">
        <v>1404</v>
      </c>
      <c r="G64" s="21" t="s">
        <v>1405</v>
      </c>
      <c r="H64" s="21" t="s">
        <v>10</v>
      </c>
      <c r="I64" s="21" t="s">
        <v>84</v>
      </c>
      <c r="J64" s="21" t="s">
        <v>1335</v>
      </c>
      <c r="K64" s="21" t="s">
        <v>1336</v>
      </c>
      <c r="L64" s="21" t="s">
        <v>1337</v>
      </c>
      <c r="M64" s="21" t="s">
        <v>1338</v>
      </c>
    </row>
    <row r="65" spans="1:13" ht="48" x14ac:dyDescent="0.3">
      <c r="A65" s="21"/>
      <c r="B65" s="21"/>
      <c r="C65" s="21"/>
      <c r="D65" s="21">
        <v>56</v>
      </c>
      <c r="E65" s="21" t="s">
        <v>1339</v>
      </c>
      <c r="F65" s="46" t="s">
        <v>1406</v>
      </c>
      <c r="G65" s="21" t="s">
        <v>1407</v>
      </c>
      <c r="H65" s="21" t="s">
        <v>10</v>
      </c>
      <c r="I65" s="21" t="s">
        <v>84</v>
      </c>
      <c r="J65" s="21" t="s">
        <v>14</v>
      </c>
      <c r="K65" s="29" t="s">
        <v>1341</v>
      </c>
      <c r="L65" s="21" t="s">
        <v>1342</v>
      </c>
      <c r="M65" s="21" t="s">
        <v>1340</v>
      </c>
    </row>
    <row r="66" spans="1:13" x14ac:dyDescent="0.3">
      <c r="A66" s="23"/>
      <c r="B66" s="23"/>
      <c r="C66" s="23"/>
      <c r="D66" s="23"/>
      <c r="E66" s="23"/>
      <c r="F66" s="23"/>
      <c r="G66" s="23"/>
      <c r="H66" s="23"/>
      <c r="I66" s="23"/>
      <c r="J66" s="23"/>
      <c r="L66" s="35"/>
      <c r="M66" s="35"/>
    </row>
    <row r="67" spans="1:13" x14ac:dyDescent="0.3">
      <c r="A67" s="23"/>
      <c r="B67" s="23"/>
      <c r="C67" s="23"/>
      <c r="D67" s="23"/>
      <c r="E67" s="23"/>
      <c r="F67" s="23"/>
      <c r="G67" s="23"/>
      <c r="H67" s="23"/>
      <c r="I67" s="23"/>
      <c r="J67" s="23"/>
      <c r="L67" s="35"/>
      <c r="M67" s="35"/>
    </row>
    <row r="68" spans="1:13" x14ac:dyDescent="0.3">
      <c r="A68" s="18" t="s">
        <v>983</v>
      </c>
      <c r="B68" s="23"/>
      <c r="C68" s="23"/>
      <c r="D68" s="23"/>
      <c r="E68" s="23"/>
      <c r="F68" s="23"/>
      <c r="G68" s="23"/>
      <c r="H68" s="23"/>
      <c r="I68" s="23"/>
      <c r="J68" s="23"/>
      <c r="L68" s="35"/>
      <c r="M68" s="35"/>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2"/>
  <sheetViews>
    <sheetView zoomScale="90" zoomScaleNormal="90" workbookViewId="0">
      <selection activeCell="L14" sqref="L14"/>
    </sheetView>
  </sheetViews>
  <sheetFormatPr defaultColWidth="8.77734375" defaultRowHeight="14.4" x14ac:dyDescent="0.3"/>
  <cols>
    <col min="1" max="1" width="6.21875" bestFit="1" customWidth="1"/>
    <col min="2" max="2" width="8.77734375" customWidth="1"/>
    <col min="3" max="3" width="15.21875" customWidth="1"/>
    <col min="4" max="4" width="7" customWidth="1"/>
    <col min="5" max="5" width="22.21875" bestFit="1" customWidth="1"/>
    <col min="6" max="6" width="22.21875" customWidth="1"/>
    <col min="7" max="7" width="23.44140625" customWidth="1"/>
    <col min="8" max="8" width="9.21875" customWidth="1"/>
    <col min="9" max="9" width="11" customWidth="1"/>
    <col min="10" max="10" width="9.21875" bestFit="1" customWidth="1"/>
    <col min="11" max="11" width="21.21875" style="7" customWidth="1"/>
    <col min="12" max="12" width="46" customWidth="1"/>
    <col min="13" max="13" width="40.77734375" bestFit="1"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56" t="s">
        <v>12</v>
      </c>
      <c r="B2" s="56" t="s">
        <v>57</v>
      </c>
      <c r="C2" s="56"/>
      <c r="D2" s="56" t="s">
        <v>849</v>
      </c>
      <c r="E2" s="56" t="s">
        <v>161</v>
      </c>
      <c r="F2" s="56" t="s">
        <v>387</v>
      </c>
      <c r="G2" s="56" t="s">
        <v>387</v>
      </c>
      <c r="H2" s="56" t="s">
        <v>13</v>
      </c>
      <c r="I2" s="56"/>
      <c r="J2" s="56"/>
      <c r="K2" s="56"/>
      <c r="L2" s="6" t="s">
        <v>707</v>
      </c>
      <c r="M2" s="6" t="s">
        <v>102</v>
      </c>
    </row>
    <row r="3" spans="1:13" ht="36.6" x14ac:dyDescent="0.3">
      <c r="A3" s="56" t="s">
        <v>12</v>
      </c>
      <c r="B3" s="56" t="s">
        <v>1</v>
      </c>
      <c r="C3" s="56" t="s">
        <v>212</v>
      </c>
      <c r="D3" s="56" t="s">
        <v>849</v>
      </c>
      <c r="E3" s="56" t="s">
        <v>3</v>
      </c>
      <c r="F3" s="56" t="s">
        <v>385</v>
      </c>
      <c r="G3" s="56" t="s">
        <v>385</v>
      </c>
      <c r="H3" s="56" t="s">
        <v>13</v>
      </c>
      <c r="I3" s="56" t="s">
        <v>86</v>
      </c>
      <c r="J3" s="56"/>
      <c r="K3" s="56"/>
      <c r="L3" s="56" t="s">
        <v>726</v>
      </c>
      <c r="M3" s="6" t="s">
        <v>159</v>
      </c>
    </row>
    <row r="4" spans="1:13" ht="36.6" x14ac:dyDescent="0.3">
      <c r="A4" s="56" t="s">
        <v>12</v>
      </c>
      <c r="B4" s="56" t="s">
        <v>1</v>
      </c>
      <c r="C4" s="56" t="s">
        <v>212</v>
      </c>
      <c r="D4" s="56" t="s">
        <v>849</v>
      </c>
      <c r="E4" s="56" t="s">
        <v>67</v>
      </c>
      <c r="F4" s="56" t="s">
        <v>384</v>
      </c>
      <c r="G4" s="56" t="s">
        <v>384</v>
      </c>
      <c r="H4" s="56" t="s">
        <v>13</v>
      </c>
      <c r="I4" s="56" t="s">
        <v>86</v>
      </c>
      <c r="J4" s="56"/>
      <c r="K4" s="56"/>
      <c r="L4" s="56" t="s">
        <v>727</v>
      </c>
      <c r="M4" s="6" t="s">
        <v>160</v>
      </c>
    </row>
    <row r="5" spans="1:13" ht="36.6" x14ac:dyDescent="0.3">
      <c r="A5" s="56" t="s">
        <v>12</v>
      </c>
      <c r="B5" s="56" t="s">
        <v>1</v>
      </c>
      <c r="C5" s="56" t="s">
        <v>212</v>
      </c>
      <c r="D5" s="56" t="s">
        <v>849</v>
      </c>
      <c r="E5" s="56" t="s">
        <v>230</v>
      </c>
      <c r="F5" s="56" t="s">
        <v>264</v>
      </c>
      <c r="G5" s="56" t="s">
        <v>264</v>
      </c>
      <c r="H5" s="56" t="s">
        <v>13</v>
      </c>
      <c r="I5" s="56" t="s">
        <v>86</v>
      </c>
      <c r="J5" s="56"/>
      <c r="K5" s="56"/>
      <c r="L5" s="56" t="s">
        <v>728</v>
      </c>
      <c r="M5" s="56"/>
    </row>
    <row r="6" spans="1:13" ht="36.6" x14ac:dyDescent="0.3">
      <c r="A6" s="56" t="s">
        <v>12</v>
      </c>
      <c r="B6" s="56" t="s">
        <v>1</v>
      </c>
      <c r="C6" s="56" t="s">
        <v>212</v>
      </c>
      <c r="D6" s="56" t="s">
        <v>849</v>
      </c>
      <c r="E6" s="56" t="s">
        <v>216</v>
      </c>
      <c r="F6" s="56" t="s">
        <v>242</v>
      </c>
      <c r="G6" s="56" t="s">
        <v>242</v>
      </c>
      <c r="H6" s="56" t="s">
        <v>13</v>
      </c>
      <c r="I6" s="56" t="s">
        <v>86</v>
      </c>
      <c r="J6" s="56"/>
      <c r="K6" s="56"/>
      <c r="L6" s="56" t="s">
        <v>729</v>
      </c>
      <c r="M6" s="56"/>
    </row>
    <row r="7" spans="1:13" ht="36.6" x14ac:dyDescent="0.3">
      <c r="A7" s="56" t="s">
        <v>12</v>
      </c>
      <c r="B7" s="56" t="s">
        <v>1</v>
      </c>
      <c r="C7" s="56" t="s">
        <v>212</v>
      </c>
      <c r="D7" s="56" t="s">
        <v>849</v>
      </c>
      <c r="E7" s="56" t="s">
        <v>207</v>
      </c>
      <c r="F7" s="56" t="s">
        <v>299</v>
      </c>
      <c r="G7" s="56" t="s">
        <v>299</v>
      </c>
      <c r="H7" s="56" t="s">
        <v>13</v>
      </c>
      <c r="I7" s="56" t="s">
        <v>86</v>
      </c>
      <c r="J7" s="56"/>
      <c r="K7" s="56"/>
      <c r="L7" s="56" t="s">
        <v>730</v>
      </c>
      <c r="M7" s="56"/>
    </row>
    <row r="8" spans="1:13" s="23" customFormat="1" ht="24.6" x14ac:dyDescent="0.3">
      <c r="A8" s="56" t="s">
        <v>12</v>
      </c>
      <c r="B8" s="56"/>
      <c r="C8" s="56"/>
      <c r="D8" s="56" t="s">
        <v>849</v>
      </c>
      <c r="E8" s="56" t="s">
        <v>562</v>
      </c>
      <c r="F8" s="56" t="s">
        <v>513</v>
      </c>
      <c r="G8" s="56" t="s">
        <v>513</v>
      </c>
      <c r="H8" s="56" t="s">
        <v>13</v>
      </c>
      <c r="I8" s="56" t="s">
        <v>11</v>
      </c>
      <c r="J8" s="56"/>
      <c r="K8" s="56"/>
      <c r="L8" s="56" t="s">
        <v>859</v>
      </c>
      <c r="M8" s="56" t="s">
        <v>563</v>
      </c>
    </row>
    <row r="9" spans="1:13" s="2" customFormat="1" ht="12" x14ac:dyDescent="0.25">
      <c r="A9" s="45"/>
      <c r="B9" s="45"/>
      <c r="C9" s="45"/>
      <c r="D9" s="45">
        <v>1</v>
      </c>
      <c r="E9" s="45" t="s">
        <v>9</v>
      </c>
      <c r="F9" s="21" t="s">
        <v>373</v>
      </c>
      <c r="G9" s="21" t="s">
        <v>375</v>
      </c>
      <c r="H9" s="45" t="s">
        <v>10</v>
      </c>
      <c r="I9" s="45" t="s">
        <v>11</v>
      </c>
      <c r="J9" s="45"/>
      <c r="K9" s="6"/>
      <c r="L9" s="21" t="s">
        <v>162</v>
      </c>
      <c r="M9" s="21" t="s">
        <v>162</v>
      </c>
    </row>
    <row r="10" spans="1:13" s="2" customFormat="1" ht="48" x14ac:dyDescent="0.25">
      <c r="A10" s="45"/>
      <c r="B10" s="45"/>
      <c r="C10" s="21" t="s">
        <v>213</v>
      </c>
      <c r="D10" s="45">
        <v>2</v>
      </c>
      <c r="E10" s="21" t="s">
        <v>631</v>
      </c>
      <c r="F10" s="21" t="s">
        <v>653</v>
      </c>
      <c r="G10" s="21" t="s">
        <v>654</v>
      </c>
      <c r="H10" s="21" t="s">
        <v>13</v>
      </c>
      <c r="I10" s="21" t="s">
        <v>11</v>
      </c>
      <c r="J10" s="21"/>
      <c r="K10" s="6"/>
      <c r="L10" s="21" t="s">
        <v>655</v>
      </c>
      <c r="M10" s="21" t="s">
        <v>655</v>
      </c>
    </row>
    <row r="11" spans="1:13" s="2" customFormat="1" ht="36" x14ac:dyDescent="0.25">
      <c r="A11" s="45"/>
      <c r="B11" s="45"/>
      <c r="C11" s="45"/>
      <c r="D11" s="45">
        <v>3</v>
      </c>
      <c r="E11" s="20" t="s">
        <v>246</v>
      </c>
      <c r="F11" s="20" t="s">
        <v>374</v>
      </c>
      <c r="G11" s="20" t="s">
        <v>374</v>
      </c>
      <c r="H11" s="20" t="s">
        <v>247</v>
      </c>
      <c r="I11" s="20" t="s">
        <v>93</v>
      </c>
      <c r="J11" s="20" t="s">
        <v>14</v>
      </c>
      <c r="K11" s="21" t="s">
        <v>1231</v>
      </c>
      <c r="L11" s="21" t="s">
        <v>1019</v>
      </c>
      <c r="M11" s="21" t="s">
        <v>1020</v>
      </c>
    </row>
    <row r="12" spans="1:13" ht="36.6" x14ac:dyDescent="0.3">
      <c r="A12" s="45"/>
      <c r="B12" s="45"/>
      <c r="C12" s="45"/>
      <c r="D12" s="45">
        <v>4</v>
      </c>
      <c r="E12" s="45" t="s">
        <v>1121</v>
      </c>
      <c r="F12" s="21" t="s">
        <v>743</v>
      </c>
      <c r="G12" s="21" t="s">
        <v>743</v>
      </c>
      <c r="H12" s="45" t="s">
        <v>10</v>
      </c>
      <c r="I12" s="45" t="s">
        <v>93</v>
      </c>
      <c r="J12" s="45"/>
      <c r="K12" s="21"/>
      <c r="L12" s="45" t="s">
        <v>1223</v>
      </c>
      <c r="M12" s="21" t="s">
        <v>116</v>
      </c>
    </row>
    <row r="13" spans="1:13" ht="36.6" x14ac:dyDescent="0.3">
      <c r="A13" s="45"/>
      <c r="B13" s="45"/>
      <c r="C13" s="45"/>
      <c r="D13" s="45">
        <v>5</v>
      </c>
      <c r="E13" s="20" t="s">
        <v>250</v>
      </c>
      <c r="F13" s="20" t="s">
        <v>353</v>
      </c>
      <c r="G13" s="20" t="s">
        <v>353</v>
      </c>
      <c r="H13" s="21" t="s">
        <v>10</v>
      </c>
      <c r="I13" s="20" t="s">
        <v>93</v>
      </c>
      <c r="J13" s="21" t="s">
        <v>14</v>
      </c>
      <c r="K13" s="21" t="s">
        <v>1235</v>
      </c>
      <c r="L13" s="21" t="s">
        <v>251</v>
      </c>
      <c r="M13" s="21" t="s">
        <v>252</v>
      </c>
    </row>
    <row r="14" spans="1:13" ht="24.6" x14ac:dyDescent="0.3">
      <c r="A14" s="45"/>
      <c r="B14" s="45"/>
      <c r="C14" s="45"/>
      <c r="D14" s="45">
        <v>6</v>
      </c>
      <c r="E14" s="20" t="s">
        <v>1090</v>
      </c>
      <c r="F14" s="20" t="s">
        <v>354</v>
      </c>
      <c r="G14" s="20" t="s">
        <v>354</v>
      </c>
      <c r="H14" s="21" t="s">
        <v>10</v>
      </c>
      <c r="I14" s="20" t="s">
        <v>93</v>
      </c>
      <c r="J14" s="20"/>
      <c r="K14" s="21"/>
      <c r="L14" s="21" t="s">
        <v>535</v>
      </c>
      <c r="M14" s="21" t="s">
        <v>254</v>
      </c>
    </row>
    <row r="15" spans="1:13" s="2" customFormat="1" ht="60" x14ac:dyDescent="0.25">
      <c r="A15" s="45"/>
      <c r="B15" s="45"/>
      <c r="C15" s="45" t="s">
        <v>214</v>
      </c>
      <c r="D15" s="45">
        <v>7</v>
      </c>
      <c r="E15" s="20" t="s">
        <v>1118</v>
      </c>
      <c r="F15" s="20" t="s">
        <v>942</v>
      </c>
      <c r="G15" s="20" t="s">
        <v>552</v>
      </c>
      <c r="H15" s="20" t="s">
        <v>10</v>
      </c>
      <c r="I15" s="20" t="s">
        <v>93</v>
      </c>
      <c r="J15" s="20" t="s">
        <v>14</v>
      </c>
      <c r="K15" s="21" t="s">
        <v>1259</v>
      </c>
      <c r="L15" s="21" t="s">
        <v>1212</v>
      </c>
      <c r="M15" s="21" t="s">
        <v>1213</v>
      </c>
    </row>
    <row r="16" spans="1:13" ht="156" x14ac:dyDescent="0.3">
      <c r="A16" s="45"/>
      <c r="B16" s="45"/>
      <c r="C16" s="45" t="s">
        <v>214</v>
      </c>
      <c r="D16" s="45">
        <v>8</v>
      </c>
      <c r="E16" s="20" t="s">
        <v>1119</v>
      </c>
      <c r="F16" s="20" t="s">
        <v>672</v>
      </c>
      <c r="G16" s="20" t="s">
        <v>673</v>
      </c>
      <c r="H16" s="45" t="s">
        <v>10</v>
      </c>
      <c r="I16" s="45" t="s">
        <v>11</v>
      </c>
      <c r="J16" s="45"/>
      <c r="K16" s="21" t="s">
        <v>1260</v>
      </c>
      <c r="L16" s="57" t="s">
        <v>860</v>
      </c>
      <c r="M16" s="57" t="s">
        <v>430</v>
      </c>
    </row>
    <row r="17" spans="1:13" ht="48" x14ac:dyDescent="0.3">
      <c r="A17" s="45"/>
      <c r="B17" s="45"/>
      <c r="C17" s="45" t="s">
        <v>214</v>
      </c>
      <c r="D17" s="45">
        <v>9</v>
      </c>
      <c r="E17" s="20" t="s">
        <v>1120</v>
      </c>
      <c r="F17" s="20" t="s">
        <v>941</v>
      </c>
      <c r="G17" s="20" t="s">
        <v>553</v>
      </c>
      <c r="H17" s="20" t="s">
        <v>10</v>
      </c>
      <c r="I17" s="20" t="s">
        <v>93</v>
      </c>
      <c r="J17" s="20" t="s">
        <v>14</v>
      </c>
      <c r="K17" s="21" t="s">
        <v>1261</v>
      </c>
      <c r="L17" s="57" t="s">
        <v>1211</v>
      </c>
      <c r="M17" s="57" t="s">
        <v>551</v>
      </c>
    </row>
    <row r="18" spans="1:13" ht="36.6" x14ac:dyDescent="0.3">
      <c r="A18" s="45"/>
      <c r="B18" s="45"/>
      <c r="C18" s="45"/>
      <c r="D18" s="45">
        <v>10</v>
      </c>
      <c r="E18" s="21" t="s">
        <v>245</v>
      </c>
      <c r="F18" s="21" t="s">
        <v>355</v>
      </c>
      <c r="G18" s="21" t="s">
        <v>355</v>
      </c>
      <c r="H18" s="21" t="s">
        <v>10</v>
      </c>
      <c r="I18" s="21" t="s">
        <v>17</v>
      </c>
      <c r="J18" s="21" t="s">
        <v>14</v>
      </c>
      <c r="K18" s="21" t="s">
        <v>1236</v>
      </c>
      <c r="L18" s="21" t="s">
        <v>814</v>
      </c>
      <c r="M18" s="21" t="s">
        <v>602</v>
      </c>
    </row>
    <row r="19" spans="1:13" ht="24.6" x14ac:dyDescent="0.3">
      <c r="A19" s="45"/>
      <c r="B19" s="45"/>
      <c r="C19" s="45"/>
      <c r="D19" s="45">
        <v>11</v>
      </c>
      <c r="E19" s="45" t="s">
        <v>1122</v>
      </c>
      <c r="F19" s="45" t="s">
        <v>943</v>
      </c>
      <c r="G19" s="45" t="s">
        <v>944</v>
      </c>
      <c r="H19" s="45" t="s">
        <v>10</v>
      </c>
      <c r="I19" s="45" t="s">
        <v>11</v>
      </c>
      <c r="J19" s="45" t="s">
        <v>566</v>
      </c>
      <c r="K19" s="6"/>
      <c r="L19" s="45" t="s">
        <v>565</v>
      </c>
      <c r="M19" s="45" t="s">
        <v>163</v>
      </c>
    </row>
    <row r="20" spans="1:13" ht="36.6" x14ac:dyDescent="0.3">
      <c r="A20" s="45"/>
      <c r="B20" s="45"/>
      <c r="C20" s="45"/>
      <c r="D20" s="45">
        <v>12</v>
      </c>
      <c r="E20" s="45" t="s">
        <v>1123</v>
      </c>
      <c r="F20" s="45" t="s">
        <v>579</v>
      </c>
      <c r="G20" s="45" t="s">
        <v>578</v>
      </c>
      <c r="H20" s="45" t="s">
        <v>10</v>
      </c>
      <c r="I20" s="45" t="s">
        <v>11</v>
      </c>
      <c r="J20" s="21" t="s">
        <v>14</v>
      </c>
      <c r="K20" s="21" t="s">
        <v>1231</v>
      </c>
      <c r="L20" s="45" t="s">
        <v>577</v>
      </c>
      <c r="M20" s="45"/>
    </row>
    <row r="21" spans="1:13" x14ac:dyDescent="0.3">
      <c r="A21" s="45"/>
      <c r="B21" s="45"/>
      <c r="C21" s="45"/>
      <c r="D21" s="45">
        <v>13</v>
      </c>
      <c r="E21" s="45" t="s">
        <v>1218</v>
      </c>
      <c r="F21" s="45" t="s">
        <v>1220</v>
      </c>
      <c r="G21" s="45" t="s">
        <v>1220</v>
      </c>
      <c r="H21" s="45" t="s">
        <v>13</v>
      </c>
      <c r="I21" s="45" t="s">
        <v>17</v>
      </c>
      <c r="J21" s="21"/>
      <c r="K21" s="6"/>
      <c r="L21" s="45" t="s">
        <v>1224</v>
      </c>
      <c r="M21" s="45"/>
    </row>
    <row r="22" spans="1:13" ht="24.6" x14ac:dyDescent="0.3">
      <c r="A22" s="45"/>
      <c r="B22" s="45"/>
      <c r="C22" s="45"/>
      <c r="D22" s="45">
        <v>14</v>
      </c>
      <c r="E22" s="45" t="s">
        <v>1496</v>
      </c>
      <c r="F22" s="45" t="s">
        <v>1482</v>
      </c>
      <c r="G22" s="45" t="s">
        <v>1483</v>
      </c>
      <c r="H22" s="45" t="s">
        <v>10</v>
      </c>
      <c r="I22" s="45" t="s">
        <v>17</v>
      </c>
      <c r="J22" s="21" t="s">
        <v>14</v>
      </c>
      <c r="K22" s="58" t="s">
        <v>1450</v>
      </c>
      <c r="L22" s="21" t="s">
        <v>1497</v>
      </c>
      <c r="M22" s="45"/>
    </row>
    <row r="23" spans="1:13" x14ac:dyDescent="0.3">
      <c r="A23" s="45"/>
      <c r="B23" s="45"/>
      <c r="C23" s="45"/>
      <c r="D23" s="45">
        <v>15</v>
      </c>
      <c r="E23" s="45" t="s">
        <v>1219</v>
      </c>
      <c r="F23" s="45" t="s">
        <v>1221</v>
      </c>
      <c r="G23" s="45" t="s">
        <v>1222</v>
      </c>
      <c r="H23" s="45" t="s">
        <v>13</v>
      </c>
      <c r="I23" s="45" t="s">
        <v>17</v>
      </c>
      <c r="J23" s="45"/>
      <c r="K23" s="6"/>
      <c r="L23" s="45" t="s">
        <v>1225</v>
      </c>
      <c r="M23" s="45"/>
    </row>
    <row r="24" spans="1:13" ht="24.6" x14ac:dyDescent="0.3">
      <c r="A24" s="45"/>
      <c r="B24" s="45"/>
      <c r="C24" s="45"/>
      <c r="D24" s="45">
        <v>16</v>
      </c>
      <c r="E24" s="45" t="s">
        <v>1124</v>
      </c>
      <c r="F24" s="45" t="s">
        <v>810</v>
      </c>
      <c r="G24" s="45" t="s">
        <v>793</v>
      </c>
      <c r="H24" s="45" t="s">
        <v>13</v>
      </c>
      <c r="I24" s="45" t="s">
        <v>84</v>
      </c>
      <c r="J24" s="45"/>
      <c r="K24" s="6"/>
      <c r="L24" s="45" t="s">
        <v>205</v>
      </c>
      <c r="M24" s="45" t="s">
        <v>205</v>
      </c>
    </row>
    <row r="25" spans="1:13" ht="24.6" customHeight="1" x14ac:dyDescent="0.3">
      <c r="A25" s="45"/>
      <c r="B25" s="45"/>
      <c r="C25" s="45"/>
      <c r="D25" s="45">
        <v>17</v>
      </c>
      <c r="E25" s="45" t="s">
        <v>1486</v>
      </c>
      <c r="F25" s="45" t="s">
        <v>1484</v>
      </c>
      <c r="G25" s="45" t="s">
        <v>1485</v>
      </c>
      <c r="H25" s="45" t="s">
        <v>10</v>
      </c>
      <c r="I25" s="45" t="s">
        <v>17</v>
      </c>
      <c r="J25" s="21" t="s">
        <v>14</v>
      </c>
      <c r="K25" s="58" t="s">
        <v>1450</v>
      </c>
      <c r="L25" s="21" t="s">
        <v>1498</v>
      </c>
      <c r="M25" s="45"/>
    </row>
    <row r="26" spans="1:13" ht="15.6" customHeight="1" x14ac:dyDescent="0.3">
      <c r="A26" s="45"/>
      <c r="B26" s="45"/>
      <c r="C26" s="45"/>
      <c r="D26" s="45">
        <v>18</v>
      </c>
      <c r="E26" s="45" t="s">
        <v>1125</v>
      </c>
      <c r="F26" s="20" t="s">
        <v>764</v>
      </c>
      <c r="G26" s="20" t="s">
        <v>776</v>
      </c>
      <c r="H26" s="20" t="s">
        <v>13</v>
      </c>
      <c r="I26" s="45" t="s">
        <v>84</v>
      </c>
      <c r="J26" s="45"/>
      <c r="K26" s="6"/>
      <c r="L26" s="45" t="s">
        <v>80</v>
      </c>
      <c r="M26" s="45" t="s">
        <v>80</v>
      </c>
    </row>
    <row r="27" spans="1:13" s="13" customFormat="1" x14ac:dyDescent="0.3">
      <c r="A27" s="21"/>
      <c r="B27" s="21"/>
      <c r="C27" s="21"/>
      <c r="D27" s="45">
        <v>19</v>
      </c>
      <c r="E27" s="21" t="s">
        <v>612</v>
      </c>
      <c r="F27" s="20" t="s">
        <v>952</v>
      </c>
      <c r="G27" s="20" t="s">
        <v>951</v>
      </c>
      <c r="H27" s="29" t="s">
        <v>1287</v>
      </c>
      <c r="I27" s="21" t="s">
        <v>84</v>
      </c>
      <c r="J27" s="21" t="s">
        <v>1301</v>
      </c>
      <c r="K27" s="6"/>
      <c r="L27" s="21" t="s">
        <v>815</v>
      </c>
      <c r="M27" s="21" t="s">
        <v>612</v>
      </c>
    </row>
    <row r="28" spans="1:13" x14ac:dyDescent="0.3">
      <c r="A28" s="21"/>
      <c r="B28" s="21"/>
      <c r="C28" s="21"/>
      <c r="D28" s="45">
        <v>20</v>
      </c>
      <c r="E28" s="21" t="s">
        <v>117</v>
      </c>
      <c r="F28" s="20" t="s">
        <v>949</v>
      </c>
      <c r="G28" s="21" t="s">
        <v>950</v>
      </c>
      <c r="H28" s="29" t="s">
        <v>1287</v>
      </c>
      <c r="I28" s="21" t="s">
        <v>84</v>
      </c>
      <c r="J28" s="2" t="s">
        <v>1301</v>
      </c>
      <c r="K28" s="6"/>
      <c r="L28" s="21" t="s">
        <v>818</v>
      </c>
      <c r="M28" s="21" t="s">
        <v>117</v>
      </c>
    </row>
    <row r="29" spans="1:13" ht="24.6" x14ac:dyDescent="0.3">
      <c r="A29" s="45"/>
      <c r="B29" s="45"/>
      <c r="C29" s="45"/>
      <c r="D29" s="45">
        <v>21</v>
      </c>
      <c r="E29" s="45" t="s">
        <v>1126</v>
      </c>
      <c r="F29" s="20" t="s">
        <v>402</v>
      </c>
      <c r="G29" s="20" t="s">
        <v>403</v>
      </c>
      <c r="H29" s="45" t="s">
        <v>10</v>
      </c>
      <c r="I29" s="45" t="s">
        <v>93</v>
      </c>
      <c r="J29" s="45" t="s">
        <v>14</v>
      </c>
      <c r="K29" s="21" t="s">
        <v>1237</v>
      </c>
      <c r="L29" s="21" t="s">
        <v>206</v>
      </c>
      <c r="M29" s="21" t="s">
        <v>206</v>
      </c>
    </row>
    <row r="30" spans="1:13" x14ac:dyDescent="0.3">
      <c r="A30" s="45"/>
      <c r="B30" s="32"/>
      <c r="C30" s="45"/>
      <c r="D30" s="45">
        <v>22</v>
      </c>
      <c r="E30" s="31" t="s">
        <v>589</v>
      </c>
      <c r="F30" s="33" t="s">
        <v>596</v>
      </c>
      <c r="G30" s="33" t="s">
        <v>596</v>
      </c>
      <c r="H30" s="31" t="s">
        <v>10</v>
      </c>
      <c r="I30" s="31" t="s">
        <v>93</v>
      </c>
      <c r="J30" s="32"/>
      <c r="K30" s="6"/>
      <c r="L30" s="31" t="s">
        <v>588</v>
      </c>
      <c r="M30" s="31" t="s">
        <v>588</v>
      </c>
    </row>
    <row r="31" spans="1:13" ht="24.6" x14ac:dyDescent="0.3">
      <c r="A31" s="45"/>
      <c r="B31" s="45"/>
      <c r="C31" s="45"/>
      <c r="D31" s="45">
        <v>23</v>
      </c>
      <c r="E31" s="20" t="s">
        <v>1086</v>
      </c>
      <c r="F31" s="20" t="s">
        <v>334</v>
      </c>
      <c r="G31" s="20" t="s">
        <v>336</v>
      </c>
      <c r="H31" s="51" t="s">
        <v>10</v>
      </c>
      <c r="I31" s="20" t="s">
        <v>84</v>
      </c>
      <c r="J31" s="21" t="s">
        <v>14</v>
      </c>
      <c r="K31" s="21" t="s">
        <v>1237</v>
      </c>
      <c r="L31" s="21" t="s">
        <v>512</v>
      </c>
      <c r="M31" s="21" t="s">
        <v>512</v>
      </c>
    </row>
    <row r="32" spans="1:13" ht="36.6" x14ac:dyDescent="0.3">
      <c r="A32" s="45"/>
      <c r="B32" s="45"/>
      <c r="C32" s="45"/>
      <c r="D32" s="45">
        <v>24</v>
      </c>
      <c r="E32" s="20" t="s">
        <v>1087</v>
      </c>
      <c r="F32" s="20" t="s">
        <v>811</v>
      </c>
      <c r="G32" s="20" t="s">
        <v>794</v>
      </c>
      <c r="H32" s="20" t="s">
        <v>13</v>
      </c>
      <c r="I32" s="20" t="s">
        <v>84</v>
      </c>
      <c r="J32" s="20"/>
      <c r="K32" s="6"/>
      <c r="L32" s="21" t="s">
        <v>255</v>
      </c>
      <c r="M32" s="21" t="s">
        <v>256</v>
      </c>
    </row>
    <row r="33" spans="1:13" ht="36.6" x14ac:dyDescent="0.3">
      <c r="A33" s="45"/>
      <c r="B33" s="45"/>
      <c r="C33" s="45"/>
      <c r="D33" s="45">
        <v>25</v>
      </c>
      <c r="E33" s="20" t="s">
        <v>1088</v>
      </c>
      <c r="F33" s="20" t="s">
        <v>765</v>
      </c>
      <c r="G33" s="20" t="s">
        <v>777</v>
      </c>
      <c r="H33" s="20" t="s">
        <v>13</v>
      </c>
      <c r="I33" s="20" t="s">
        <v>84</v>
      </c>
      <c r="J33" s="20"/>
      <c r="K33" s="6"/>
      <c r="L33" s="21" t="s">
        <v>257</v>
      </c>
      <c r="M33" s="21" t="s">
        <v>258</v>
      </c>
    </row>
    <row r="34" spans="1:13" ht="24.6" x14ac:dyDescent="0.3">
      <c r="A34" s="21"/>
      <c r="B34" s="21"/>
      <c r="C34" s="21"/>
      <c r="D34" s="45">
        <v>26</v>
      </c>
      <c r="E34" s="20" t="s">
        <v>685</v>
      </c>
      <c r="F34" s="20" t="s">
        <v>945</v>
      </c>
      <c r="G34" s="20" t="s">
        <v>947</v>
      </c>
      <c r="H34" s="29" t="s">
        <v>1287</v>
      </c>
      <c r="I34" s="21" t="s">
        <v>84</v>
      </c>
      <c r="J34" s="21" t="s">
        <v>1301</v>
      </c>
      <c r="K34" s="6"/>
      <c r="L34" s="21" t="s">
        <v>816</v>
      </c>
      <c r="M34" s="21" t="s">
        <v>259</v>
      </c>
    </row>
    <row r="35" spans="1:13" s="13" customFormat="1" ht="24.6" x14ac:dyDescent="0.3">
      <c r="A35" s="21"/>
      <c r="B35" s="21"/>
      <c r="C35" s="21"/>
      <c r="D35" s="45">
        <v>27</v>
      </c>
      <c r="E35" s="20" t="s">
        <v>686</v>
      </c>
      <c r="F35" s="20" t="s">
        <v>946</v>
      </c>
      <c r="G35" s="21" t="s">
        <v>948</v>
      </c>
      <c r="H35" s="29" t="s">
        <v>1287</v>
      </c>
      <c r="I35" s="21" t="s">
        <v>84</v>
      </c>
      <c r="J35" s="2" t="s">
        <v>1301</v>
      </c>
      <c r="K35" s="6"/>
      <c r="L35" s="21" t="s">
        <v>817</v>
      </c>
      <c r="M35" s="21"/>
    </row>
    <row r="36" spans="1:13" ht="24.6" x14ac:dyDescent="0.3">
      <c r="A36" s="21"/>
      <c r="B36" s="21"/>
      <c r="C36" s="21"/>
      <c r="D36" s="45">
        <v>28</v>
      </c>
      <c r="E36" s="20" t="s">
        <v>676</v>
      </c>
      <c r="F36" s="20" t="s">
        <v>872</v>
      </c>
      <c r="G36" s="20" t="s">
        <v>873</v>
      </c>
      <c r="H36" s="21" t="s">
        <v>10</v>
      </c>
      <c r="I36" s="20" t="s">
        <v>93</v>
      </c>
      <c r="J36" s="20" t="s">
        <v>14</v>
      </c>
      <c r="K36" s="21" t="s">
        <v>1231</v>
      </c>
      <c r="L36" s="21" t="s">
        <v>682</v>
      </c>
      <c r="M36" s="20"/>
    </row>
    <row r="37" spans="1:13" ht="24.6" x14ac:dyDescent="0.3">
      <c r="A37" s="45"/>
      <c r="B37" s="45"/>
      <c r="C37" s="45"/>
      <c r="D37" s="45">
        <v>29</v>
      </c>
      <c r="E37" s="21" t="s">
        <v>244</v>
      </c>
      <c r="F37" s="21" t="s">
        <v>335</v>
      </c>
      <c r="G37" s="21" t="s">
        <v>337</v>
      </c>
      <c r="H37" s="21" t="s">
        <v>10</v>
      </c>
      <c r="I37" s="21" t="s">
        <v>84</v>
      </c>
      <c r="J37" s="21" t="s">
        <v>14</v>
      </c>
      <c r="K37" s="6" t="s">
        <v>1233</v>
      </c>
      <c r="L37" s="21" t="s">
        <v>244</v>
      </c>
      <c r="M37" s="21" t="s">
        <v>244</v>
      </c>
    </row>
    <row r="38" spans="1:13" ht="24.6" x14ac:dyDescent="0.3">
      <c r="A38" s="45"/>
      <c r="B38" s="45"/>
      <c r="C38" s="45"/>
      <c r="D38" s="45">
        <v>30</v>
      </c>
      <c r="E38" s="21" t="s">
        <v>1307</v>
      </c>
      <c r="F38" s="21" t="s">
        <v>1317</v>
      </c>
      <c r="G38" s="20" t="s">
        <v>1320</v>
      </c>
      <c r="H38" s="21" t="s">
        <v>10</v>
      </c>
      <c r="I38" s="21" t="s">
        <v>1309</v>
      </c>
      <c r="J38" s="21" t="s">
        <v>14</v>
      </c>
      <c r="K38" s="21" t="s">
        <v>1231</v>
      </c>
      <c r="L38" s="21" t="s">
        <v>1308</v>
      </c>
      <c r="M38" s="21" t="s">
        <v>1308</v>
      </c>
    </row>
    <row r="39" spans="1:13" ht="48.6" x14ac:dyDescent="0.3">
      <c r="A39" s="45"/>
      <c r="B39" s="45"/>
      <c r="C39" s="45"/>
      <c r="D39" s="45">
        <v>31</v>
      </c>
      <c r="E39" s="21" t="s">
        <v>1328</v>
      </c>
      <c r="F39" s="46" t="s">
        <v>1408</v>
      </c>
      <c r="G39" s="21" t="s">
        <v>1409</v>
      </c>
      <c r="H39" s="21" t="s">
        <v>1295</v>
      </c>
      <c r="I39" s="21" t="s">
        <v>84</v>
      </c>
      <c r="J39" s="21"/>
      <c r="K39" s="21"/>
      <c r="L39" s="21" t="s">
        <v>1329</v>
      </c>
      <c r="M39" s="21" t="s">
        <v>1330</v>
      </c>
    </row>
    <row r="40" spans="1:13" ht="48.6" x14ac:dyDescent="0.3">
      <c r="A40" s="45"/>
      <c r="B40" s="45"/>
      <c r="C40" s="45"/>
      <c r="D40" s="45">
        <v>32</v>
      </c>
      <c r="E40" s="21" t="s">
        <v>1331</v>
      </c>
      <c r="F40" s="46" t="s">
        <v>1410</v>
      </c>
      <c r="G40" s="21" t="s">
        <v>1411</v>
      </c>
      <c r="H40" s="21" t="s">
        <v>1295</v>
      </c>
      <c r="I40" s="21" t="s">
        <v>84</v>
      </c>
      <c r="J40" s="21"/>
      <c r="K40" s="21"/>
      <c r="L40" s="21" t="s">
        <v>1332</v>
      </c>
      <c r="M40" s="21" t="s">
        <v>1333</v>
      </c>
    </row>
    <row r="41" spans="1:13" ht="36.6" x14ac:dyDescent="0.3">
      <c r="A41" s="45"/>
      <c r="B41" s="45"/>
      <c r="C41" s="45"/>
      <c r="D41" s="45">
        <v>33</v>
      </c>
      <c r="E41" s="21" t="s">
        <v>1334</v>
      </c>
      <c r="F41" s="46" t="s">
        <v>1412</v>
      </c>
      <c r="G41" s="21" t="s">
        <v>1413</v>
      </c>
      <c r="H41" s="21" t="s">
        <v>10</v>
      </c>
      <c r="I41" s="21" t="s">
        <v>84</v>
      </c>
      <c r="J41" s="21" t="s">
        <v>1335</v>
      </c>
      <c r="K41" s="21" t="s">
        <v>1336</v>
      </c>
      <c r="L41" s="21" t="s">
        <v>1337</v>
      </c>
      <c r="M41" s="21" t="s">
        <v>1338</v>
      </c>
    </row>
    <row r="42" spans="1:13" ht="48" x14ac:dyDescent="0.3">
      <c r="A42" s="45"/>
      <c r="B42" s="45"/>
      <c r="C42" s="45"/>
      <c r="D42" s="45">
        <v>34</v>
      </c>
      <c r="E42" s="21" t="s">
        <v>1339</v>
      </c>
      <c r="F42" s="46" t="s">
        <v>1414</v>
      </c>
      <c r="G42" s="21" t="s">
        <v>1415</v>
      </c>
      <c r="H42" s="21" t="s">
        <v>10</v>
      </c>
      <c r="I42" s="21" t="s">
        <v>84</v>
      </c>
      <c r="J42" s="21" t="s">
        <v>14</v>
      </c>
      <c r="K42" s="29" t="s">
        <v>1341</v>
      </c>
      <c r="L42" s="21" t="s">
        <v>1342</v>
      </c>
      <c r="M42" s="21" t="s">
        <v>1340</v>
      </c>
    </row>
  </sheetData>
  <pageMargins left="0.7" right="0.7" top="0.75" bottom="0.75" header="0.3" footer="0.3"/>
  <pageSetup paperSize="9" orientation="portrait"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9"/>
  <sheetViews>
    <sheetView zoomScale="85" zoomScaleNormal="85" workbookViewId="0">
      <pane ySplit="1" topLeftCell="A2" activePane="bottomLeft" state="frozen"/>
      <selection pane="bottomLeft" activeCell="F54" sqref="F54"/>
    </sheetView>
  </sheetViews>
  <sheetFormatPr defaultColWidth="9.21875" defaultRowHeight="14.4" x14ac:dyDescent="0.3"/>
  <cols>
    <col min="1" max="1" width="6.21875" bestFit="1" customWidth="1"/>
    <col min="2" max="2" width="11.21875" customWidth="1"/>
    <col min="3" max="3" width="14.77734375" customWidth="1"/>
    <col min="4" max="4" width="8.21875" customWidth="1"/>
    <col min="5" max="6" width="28.77734375" customWidth="1"/>
    <col min="7" max="7" width="18.77734375" customWidth="1"/>
    <col min="8" max="8" width="10.21875" customWidth="1"/>
    <col min="9" max="9" width="11.44140625" customWidth="1"/>
    <col min="10" max="10" width="12.5546875" customWidth="1"/>
    <col min="11" max="11" width="21.21875" style="7" customWidth="1"/>
    <col min="12" max="12" width="55.21875" customWidth="1"/>
    <col min="13" max="13" width="40.77734375" bestFit="1" customWidth="1"/>
  </cols>
  <sheetData>
    <row r="1" spans="1:13" ht="36.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6" t="s">
        <v>12</v>
      </c>
      <c r="B2" s="6" t="s">
        <v>57</v>
      </c>
      <c r="C2" s="6"/>
      <c r="D2" s="6" t="s">
        <v>849</v>
      </c>
      <c r="E2" s="6" t="s">
        <v>541</v>
      </c>
      <c r="F2" s="6" t="s">
        <v>383</v>
      </c>
      <c r="G2" s="6" t="s">
        <v>383</v>
      </c>
      <c r="H2" s="6" t="s">
        <v>13</v>
      </c>
      <c r="I2" s="6"/>
      <c r="J2" s="6"/>
      <c r="K2" s="6"/>
      <c r="L2" s="6" t="s">
        <v>707</v>
      </c>
      <c r="M2" s="6" t="s">
        <v>102</v>
      </c>
    </row>
    <row r="3" spans="1:13" ht="24.6" x14ac:dyDescent="0.3">
      <c r="A3" s="6" t="s">
        <v>12</v>
      </c>
      <c r="B3" s="6" t="s">
        <v>1</v>
      </c>
      <c r="C3" s="6" t="s">
        <v>635</v>
      </c>
      <c r="D3" s="6" t="s">
        <v>849</v>
      </c>
      <c r="E3" s="6" t="s">
        <v>161</v>
      </c>
      <c r="F3" s="6" t="s">
        <v>387</v>
      </c>
      <c r="G3" s="6" t="s">
        <v>387</v>
      </c>
      <c r="H3" s="6" t="s">
        <v>13</v>
      </c>
      <c r="I3" s="6"/>
      <c r="J3" s="6"/>
      <c r="K3" s="6"/>
      <c r="L3" s="6" t="s">
        <v>731</v>
      </c>
      <c r="M3" s="6" t="s">
        <v>178</v>
      </c>
    </row>
    <row r="4" spans="1:13" x14ac:dyDescent="0.3">
      <c r="A4" s="6"/>
      <c r="B4" s="5"/>
      <c r="C4" s="5"/>
      <c r="D4" s="19">
        <v>1</v>
      </c>
      <c r="E4" s="5" t="s">
        <v>9</v>
      </c>
      <c r="F4" s="6" t="s">
        <v>376</v>
      </c>
      <c r="G4" s="6" t="s">
        <v>377</v>
      </c>
      <c r="H4" s="5" t="s">
        <v>10</v>
      </c>
      <c r="I4" s="5" t="s">
        <v>11</v>
      </c>
      <c r="J4" s="5"/>
      <c r="K4" s="6"/>
      <c r="L4" s="6" t="s">
        <v>164</v>
      </c>
      <c r="M4" s="6" t="s">
        <v>164</v>
      </c>
    </row>
    <row r="5" spans="1:13" ht="48.6" x14ac:dyDescent="0.3">
      <c r="A5" s="6"/>
      <c r="B5" s="5"/>
      <c r="C5" s="6" t="s">
        <v>986</v>
      </c>
      <c r="D5" s="19">
        <v>2</v>
      </c>
      <c r="E5" s="6" t="s">
        <v>631</v>
      </c>
      <c r="F5" s="6" t="s">
        <v>658</v>
      </c>
      <c r="G5" s="6" t="s">
        <v>659</v>
      </c>
      <c r="H5" s="6" t="s">
        <v>13</v>
      </c>
      <c r="I5" s="6" t="s">
        <v>11</v>
      </c>
      <c r="J5" s="6"/>
      <c r="K5" s="6"/>
      <c r="L5" s="6" t="s">
        <v>656</v>
      </c>
      <c r="M5" s="6" t="s">
        <v>655</v>
      </c>
    </row>
    <row r="6" spans="1:13" ht="36.6" x14ac:dyDescent="0.3">
      <c r="A6" s="6"/>
      <c r="B6" s="5"/>
      <c r="C6" s="5"/>
      <c r="D6" s="19">
        <v>3</v>
      </c>
      <c r="E6" s="5" t="s">
        <v>1127</v>
      </c>
      <c r="F6" s="6" t="s">
        <v>660</v>
      </c>
      <c r="G6" s="6" t="s">
        <v>661</v>
      </c>
      <c r="H6" s="5" t="s">
        <v>13</v>
      </c>
      <c r="I6" s="5" t="s">
        <v>17</v>
      </c>
      <c r="J6" s="5"/>
      <c r="K6" s="6"/>
      <c r="L6" s="6" t="s">
        <v>662</v>
      </c>
      <c r="M6" s="6" t="s">
        <v>663</v>
      </c>
    </row>
    <row r="7" spans="1:13" ht="36.6" x14ac:dyDescent="0.3">
      <c r="A7" s="6"/>
      <c r="B7" s="5"/>
      <c r="C7" s="5"/>
      <c r="D7" s="19">
        <v>4</v>
      </c>
      <c r="E7" s="5" t="s">
        <v>246</v>
      </c>
      <c r="F7" s="5" t="s">
        <v>538</v>
      </c>
      <c r="G7" s="5" t="s">
        <v>538</v>
      </c>
      <c r="H7" s="5" t="s">
        <v>247</v>
      </c>
      <c r="I7" s="5" t="s">
        <v>93</v>
      </c>
      <c r="J7" s="20" t="s">
        <v>14</v>
      </c>
      <c r="K7" s="21" t="s">
        <v>1231</v>
      </c>
      <c r="L7" s="21" t="s">
        <v>1019</v>
      </c>
      <c r="M7" s="21" t="s">
        <v>1020</v>
      </c>
    </row>
    <row r="8" spans="1:13" ht="24.6" x14ac:dyDescent="0.3">
      <c r="A8" s="6"/>
      <c r="B8" s="5"/>
      <c r="C8" s="5"/>
      <c r="D8" s="19">
        <v>5</v>
      </c>
      <c r="E8" s="5" t="s">
        <v>409</v>
      </c>
      <c r="F8" s="6" t="s">
        <v>744</v>
      </c>
      <c r="G8" s="6" t="s">
        <v>744</v>
      </c>
      <c r="H8" s="5" t="s">
        <v>10</v>
      </c>
      <c r="I8" s="5" t="s">
        <v>93</v>
      </c>
      <c r="J8" s="20"/>
      <c r="K8" s="21"/>
      <c r="L8" s="21" t="s">
        <v>1200</v>
      </c>
      <c r="M8" s="21" t="s">
        <v>95</v>
      </c>
    </row>
    <row r="9" spans="1:13" ht="24.6" x14ac:dyDescent="0.3">
      <c r="A9" s="6"/>
      <c r="B9" s="5"/>
      <c r="C9" s="5" t="s">
        <v>214</v>
      </c>
      <c r="D9" s="19">
        <v>6</v>
      </c>
      <c r="E9" s="5" t="s">
        <v>40</v>
      </c>
      <c r="F9" s="5" t="s">
        <v>493</v>
      </c>
      <c r="G9" s="5" t="s">
        <v>570</v>
      </c>
      <c r="H9" s="5" t="s">
        <v>10</v>
      </c>
      <c r="I9" s="5" t="s">
        <v>11</v>
      </c>
      <c r="J9" s="5" t="s">
        <v>14</v>
      </c>
      <c r="K9" s="6" t="s">
        <v>1264</v>
      </c>
      <c r="L9" s="6" t="s">
        <v>571</v>
      </c>
      <c r="M9" s="6" t="s">
        <v>165</v>
      </c>
    </row>
    <row r="10" spans="1:13" ht="24.6" x14ac:dyDescent="0.3">
      <c r="A10" s="6"/>
      <c r="B10" s="5"/>
      <c r="C10" s="5" t="s">
        <v>214</v>
      </c>
      <c r="D10" s="19">
        <v>7</v>
      </c>
      <c r="E10" s="5" t="s">
        <v>969</v>
      </c>
      <c r="F10" s="5" t="s">
        <v>970</v>
      </c>
      <c r="G10" s="5" t="s">
        <v>971</v>
      </c>
      <c r="H10" s="5" t="s">
        <v>10</v>
      </c>
      <c r="I10" s="5" t="s">
        <v>17</v>
      </c>
      <c r="J10" s="5" t="s">
        <v>14</v>
      </c>
      <c r="K10" s="6" t="s">
        <v>1265</v>
      </c>
      <c r="L10" s="6" t="s">
        <v>972</v>
      </c>
      <c r="M10" s="6" t="s">
        <v>569</v>
      </c>
    </row>
    <row r="11" spans="1:13" s="23" customFormat="1" ht="24.6" x14ac:dyDescent="0.3">
      <c r="A11" s="21"/>
      <c r="B11" s="20"/>
      <c r="C11" s="20"/>
      <c r="D11" s="30"/>
      <c r="E11" s="20" t="s">
        <v>1047</v>
      </c>
      <c r="F11" s="20" t="s">
        <v>1201</v>
      </c>
      <c r="G11" s="20" t="s">
        <v>1202</v>
      </c>
      <c r="H11" s="20" t="s">
        <v>10</v>
      </c>
      <c r="I11" s="20" t="s">
        <v>11</v>
      </c>
      <c r="J11" s="20" t="s">
        <v>14</v>
      </c>
      <c r="K11" s="21" t="s">
        <v>1266</v>
      </c>
      <c r="L11" s="21" t="s">
        <v>1049</v>
      </c>
      <c r="M11" s="21"/>
    </row>
    <row r="12" spans="1:13" s="23" customFormat="1" ht="48.6" x14ac:dyDescent="0.3">
      <c r="A12" s="21"/>
      <c r="B12" s="20"/>
      <c r="C12" s="20" t="s">
        <v>214</v>
      </c>
      <c r="D12" s="30">
        <v>8</v>
      </c>
      <c r="E12" s="20" t="s">
        <v>22</v>
      </c>
      <c r="F12" s="20" t="s">
        <v>494</v>
      </c>
      <c r="G12" s="20" t="s">
        <v>495</v>
      </c>
      <c r="H12" s="20" t="s">
        <v>10</v>
      </c>
      <c r="I12" s="20" t="s">
        <v>11</v>
      </c>
      <c r="J12" s="20" t="s">
        <v>14</v>
      </c>
      <c r="K12" s="21" t="s">
        <v>1284</v>
      </c>
      <c r="L12" s="21" t="s">
        <v>1051</v>
      </c>
      <c r="M12" s="21" t="s">
        <v>166</v>
      </c>
    </row>
    <row r="13" spans="1:13" ht="144.6" x14ac:dyDescent="0.3">
      <c r="A13" s="6"/>
      <c r="B13" s="5"/>
      <c r="C13" s="5"/>
      <c r="D13" s="19">
        <v>9</v>
      </c>
      <c r="E13" s="5" t="s">
        <v>1128</v>
      </c>
      <c r="F13" s="5" t="s">
        <v>548</v>
      </c>
      <c r="G13" s="5" t="s">
        <v>547</v>
      </c>
      <c r="H13" s="5" t="s">
        <v>10</v>
      </c>
      <c r="I13" s="5" t="s">
        <v>11</v>
      </c>
      <c r="J13" s="5" t="s">
        <v>14</v>
      </c>
      <c r="K13" s="6" t="s">
        <v>1268</v>
      </c>
      <c r="L13" s="56" t="s">
        <v>862</v>
      </c>
      <c r="M13" s="56" t="s">
        <v>549</v>
      </c>
    </row>
    <row r="14" spans="1:13" ht="60.6" x14ac:dyDescent="0.3">
      <c r="A14" s="6"/>
      <c r="B14" s="5"/>
      <c r="C14" s="5" t="s">
        <v>214</v>
      </c>
      <c r="D14" s="19">
        <v>10</v>
      </c>
      <c r="E14" s="5" t="s">
        <v>1129</v>
      </c>
      <c r="F14" s="5" t="s">
        <v>536</v>
      </c>
      <c r="G14" s="5" t="s">
        <v>537</v>
      </c>
      <c r="H14" s="5" t="s">
        <v>10</v>
      </c>
      <c r="I14" s="5" t="s">
        <v>11</v>
      </c>
      <c r="J14" s="5" t="s">
        <v>14</v>
      </c>
      <c r="K14" s="6" t="s">
        <v>1269</v>
      </c>
      <c r="L14" s="56" t="s">
        <v>684</v>
      </c>
      <c r="M14" s="56" t="s">
        <v>683</v>
      </c>
    </row>
    <row r="15" spans="1:13" ht="24.6" x14ac:dyDescent="0.3">
      <c r="A15" s="6"/>
      <c r="B15" s="5"/>
      <c r="C15" s="5" t="s">
        <v>214</v>
      </c>
      <c r="D15" s="19">
        <v>11</v>
      </c>
      <c r="E15" s="5" t="s">
        <v>15</v>
      </c>
      <c r="F15" s="5" t="s">
        <v>505</v>
      </c>
      <c r="G15" s="5" t="s">
        <v>506</v>
      </c>
      <c r="H15" s="5" t="s">
        <v>10</v>
      </c>
      <c r="I15" s="5" t="s">
        <v>17</v>
      </c>
      <c r="J15" s="5" t="s">
        <v>14</v>
      </c>
      <c r="K15" s="6" t="s">
        <v>1270</v>
      </c>
      <c r="L15" s="6" t="s">
        <v>819</v>
      </c>
      <c r="M15" s="6" t="s">
        <v>167</v>
      </c>
    </row>
    <row r="16" spans="1:13" ht="24.6" x14ac:dyDescent="0.3">
      <c r="A16" s="6"/>
      <c r="B16" s="5"/>
      <c r="C16" s="5" t="s">
        <v>214</v>
      </c>
      <c r="D16" s="19">
        <v>12</v>
      </c>
      <c r="E16" s="5" t="s">
        <v>16</v>
      </c>
      <c r="F16" s="5" t="s">
        <v>507</v>
      </c>
      <c r="G16" s="5" t="s">
        <v>508</v>
      </c>
      <c r="H16" s="5" t="s">
        <v>10</v>
      </c>
      <c r="I16" s="5" t="s">
        <v>17</v>
      </c>
      <c r="J16" s="5" t="s">
        <v>14</v>
      </c>
      <c r="K16" s="6" t="s">
        <v>1272</v>
      </c>
      <c r="L16" s="6" t="s">
        <v>168</v>
      </c>
      <c r="M16" s="6" t="s">
        <v>168</v>
      </c>
    </row>
    <row r="17" spans="1:13" ht="24.6" x14ac:dyDescent="0.3">
      <c r="A17" s="6"/>
      <c r="B17" s="5"/>
      <c r="C17" s="5" t="s">
        <v>214</v>
      </c>
      <c r="D17" s="19">
        <v>13</v>
      </c>
      <c r="E17" s="5" t="s">
        <v>18</v>
      </c>
      <c r="F17" s="5" t="s">
        <v>509</v>
      </c>
      <c r="G17" s="5" t="s">
        <v>510</v>
      </c>
      <c r="H17" s="5" t="s">
        <v>10</v>
      </c>
      <c r="I17" s="5" t="s">
        <v>17</v>
      </c>
      <c r="J17" s="5" t="s">
        <v>14</v>
      </c>
      <c r="K17" s="6" t="s">
        <v>1271</v>
      </c>
      <c r="L17" s="6" t="s">
        <v>19</v>
      </c>
      <c r="M17" s="6" t="s">
        <v>169</v>
      </c>
    </row>
    <row r="18" spans="1:13" ht="36.6" x14ac:dyDescent="0.3">
      <c r="A18" s="6"/>
      <c r="B18" s="5"/>
      <c r="C18" s="5" t="s">
        <v>214</v>
      </c>
      <c r="D18" s="19">
        <v>14</v>
      </c>
      <c r="E18" s="5" t="s">
        <v>20</v>
      </c>
      <c r="F18" s="5" t="s">
        <v>496</v>
      </c>
      <c r="G18" s="5" t="s">
        <v>496</v>
      </c>
      <c r="H18" s="5" t="s">
        <v>10</v>
      </c>
      <c r="I18" s="5" t="s">
        <v>11</v>
      </c>
      <c r="J18" s="5" t="s">
        <v>14</v>
      </c>
      <c r="K18" s="6" t="s">
        <v>1273</v>
      </c>
      <c r="L18" s="6" t="s">
        <v>1002</v>
      </c>
      <c r="M18" s="6" t="s">
        <v>20</v>
      </c>
    </row>
    <row r="19" spans="1:13" s="13" customFormat="1" ht="72" x14ac:dyDescent="0.3">
      <c r="A19" s="6"/>
      <c r="B19" s="6"/>
      <c r="C19" s="6"/>
      <c r="D19" s="19">
        <v>15</v>
      </c>
      <c r="E19" s="58" t="s">
        <v>1106</v>
      </c>
      <c r="F19" s="58" t="s">
        <v>843</v>
      </c>
      <c r="G19" s="58" t="s">
        <v>844</v>
      </c>
      <c r="H19" s="6" t="s">
        <v>10</v>
      </c>
      <c r="I19" s="6" t="s">
        <v>17</v>
      </c>
      <c r="J19" s="6" t="s">
        <v>14</v>
      </c>
      <c r="K19" s="21" t="s">
        <v>1240</v>
      </c>
      <c r="L19" s="59" t="s">
        <v>820</v>
      </c>
      <c r="M19" s="6" t="s">
        <v>821</v>
      </c>
    </row>
    <row r="20" spans="1:13" s="13" customFormat="1" ht="48.6" x14ac:dyDescent="0.3">
      <c r="A20" s="6"/>
      <c r="B20" s="6"/>
      <c r="C20" s="6"/>
      <c r="D20" s="19">
        <v>16</v>
      </c>
      <c r="E20" s="6" t="s">
        <v>29</v>
      </c>
      <c r="F20" s="5" t="s">
        <v>687</v>
      </c>
      <c r="G20" s="5" t="s">
        <v>687</v>
      </c>
      <c r="H20" s="6" t="s">
        <v>10</v>
      </c>
      <c r="I20" s="6" t="s">
        <v>17</v>
      </c>
      <c r="J20" s="6" t="s">
        <v>14</v>
      </c>
      <c r="K20" s="21" t="s">
        <v>1246</v>
      </c>
      <c r="L20" s="6" t="s">
        <v>700</v>
      </c>
      <c r="M20" s="6" t="s">
        <v>156</v>
      </c>
    </row>
    <row r="21" spans="1:13" s="13" customFormat="1" ht="72.599999999999994" x14ac:dyDescent="0.3">
      <c r="A21" s="6"/>
      <c r="B21" s="6"/>
      <c r="C21" s="6"/>
      <c r="D21" s="19">
        <v>17</v>
      </c>
      <c r="E21" s="6" t="s">
        <v>30</v>
      </c>
      <c r="F21" s="5" t="s">
        <v>688</v>
      </c>
      <c r="G21" s="5" t="s">
        <v>689</v>
      </c>
      <c r="H21" s="6" t="s">
        <v>10</v>
      </c>
      <c r="I21" s="6" t="s">
        <v>17</v>
      </c>
      <c r="J21" s="6" t="s">
        <v>14</v>
      </c>
      <c r="K21" s="21" t="s">
        <v>1247</v>
      </c>
      <c r="L21" s="6" t="s">
        <v>1003</v>
      </c>
      <c r="M21" s="6" t="s">
        <v>157</v>
      </c>
    </row>
    <row r="22" spans="1:13" s="13" customFormat="1" ht="64.2" customHeight="1" x14ac:dyDescent="0.3">
      <c r="A22" s="6"/>
      <c r="B22" s="6"/>
      <c r="C22" s="6"/>
      <c r="D22" s="19">
        <v>18</v>
      </c>
      <c r="E22" s="54" t="s">
        <v>1425</v>
      </c>
      <c r="F22" s="54" t="s">
        <v>1430</v>
      </c>
      <c r="G22" s="54" t="s">
        <v>1431</v>
      </c>
      <c r="H22" s="54" t="s">
        <v>10</v>
      </c>
      <c r="I22" s="54" t="s">
        <v>17</v>
      </c>
      <c r="J22" s="54" t="s">
        <v>14</v>
      </c>
      <c r="K22" s="54" t="s">
        <v>1432</v>
      </c>
      <c r="L22" s="54" t="s">
        <v>1433</v>
      </c>
      <c r="M22" s="29" t="s">
        <v>1434</v>
      </c>
    </row>
    <row r="23" spans="1:13" s="13" customFormat="1" ht="36.6" x14ac:dyDescent="0.3">
      <c r="A23" s="6"/>
      <c r="B23" s="6"/>
      <c r="C23" s="6"/>
      <c r="D23" s="19">
        <v>19</v>
      </c>
      <c r="E23" s="6" t="s">
        <v>835</v>
      </c>
      <c r="F23" s="6" t="s">
        <v>940</v>
      </c>
      <c r="G23" s="6" t="s">
        <v>940</v>
      </c>
      <c r="H23" s="6" t="s">
        <v>836</v>
      </c>
      <c r="I23" s="6" t="s">
        <v>11</v>
      </c>
      <c r="J23" s="6" t="s">
        <v>14</v>
      </c>
      <c r="K23" s="21" t="s">
        <v>1248</v>
      </c>
      <c r="L23" s="6" t="s">
        <v>994</v>
      </c>
      <c r="M23" s="6" t="s">
        <v>994</v>
      </c>
    </row>
    <row r="24" spans="1:13" s="13" customFormat="1" ht="24.6" x14ac:dyDescent="0.3">
      <c r="A24" s="6"/>
      <c r="B24" s="6"/>
      <c r="C24" s="6"/>
      <c r="D24" s="19">
        <v>20</v>
      </c>
      <c r="E24" s="6" t="s">
        <v>827</v>
      </c>
      <c r="F24" s="6" t="s">
        <v>833</v>
      </c>
      <c r="G24" s="6" t="s">
        <v>834</v>
      </c>
      <c r="H24" s="6" t="s">
        <v>10</v>
      </c>
      <c r="I24" s="6" t="s">
        <v>17</v>
      </c>
      <c r="J24" s="6" t="s">
        <v>14</v>
      </c>
      <c r="K24" s="21" t="s">
        <v>1249</v>
      </c>
      <c r="L24" s="6" t="s">
        <v>995</v>
      </c>
      <c r="M24" s="6" t="s">
        <v>828</v>
      </c>
    </row>
    <row r="25" spans="1:13" s="13" customFormat="1" ht="46.95" customHeight="1" x14ac:dyDescent="0.3">
      <c r="A25" s="6"/>
      <c r="B25" s="6"/>
      <c r="C25" s="6"/>
      <c r="D25" s="19">
        <v>21</v>
      </c>
      <c r="E25" s="20" t="s">
        <v>1451</v>
      </c>
      <c r="F25" s="20" t="s">
        <v>1470</v>
      </c>
      <c r="G25" s="20" t="s">
        <v>1471</v>
      </c>
      <c r="H25" s="20" t="s">
        <v>10</v>
      </c>
      <c r="I25" s="20" t="s">
        <v>17</v>
      </c>
      <c r="J25" s="20" t="s">
        <v>14</v>
      </c>
      <c r="K25" s="58" t="s">
        <v>1450</v>
      </c>
      <c r="L25" s="21" t="s">
        <v>1494</v>
      </c>
      <c r="M25" s="6"/>
    </row>
    <row r="26" spans="1:13" s="13" customFormat="1" ht="118.5" customHeight="1" x14ac:dyDescent="0.3">
      <c r="A26" s="6"/>
      <c r="B26" s="6"/>
      <c r="C26" s="6"/>
      <c r="D26" s="19">
        <v>22</v>
      </c>
      <c r="E26" s="20" t="s">
        <v>1454</v>
      </c>
      <c r="F26" s="20" t="s">
        <v>1472</v>
      </c>
      <c r="G26" s="20" t="s">
        <v>1473</v>
      </c>
      <c r="H26" s="20" t="s">
        <v>10</v>
      </c>
      <c r="I26" s="20" t="s">
        <v>17</v>
      </c>
      <c r="J26" s="20" t="s">
        <v>14</v>
      </c>
      <c r="K26" s="58" t="s">
        <v>1449</v>
      </c>
      <c r="L26" s="6" t="s">
        <v>1509</v>
      </c>
      <c r="M26" s="6"/>
    </row>
    <row r="27" spans="1:13" s="13" customFormat="1" ht="96.6" x14ac:dyDescent="0.3">
      <c r="A27" s="6"/>
      <c r="B27" s="6"/>
      <c r="C27" s="6"/>
      <c r="D27" s="19">
        <v>23</v>
      </c>
      <c r="E27" s="5" t="s">
        <v>603</v>
      </c>
      <c r="F27" s="5" t="s">
        <v>696</v>
      </c>
      <c r="G27" s="5" t="s">
        <v>697</v>
      </c>
      <c r="H27" s="6" t="s">
        <v>10</v>
      </c>
      <c r="I27" s="6" t="s">
        <v>17</v>
      </c>
      <c r="J27" s="6" t="s">
        <v>14</v>
      </c>
      <c r="K27" s="21" t="s">
        <v>1250</v>
      </c>
      <c r="L27" s="6" t="s">
        <v>1004</v>
      </c>
      <c r="M27" s="6" t="s">
        <v>599</v>
      </c>
    </row>
    <row r="28" spans="1:13" s="13" customFormat="1" ht="48.6" x14ac:dyDescent="0.3">
      <c r="A28" s="6"/>
      <c r="B28" s="6"/>
      <c r="C28" s="6"/>
      <c r="D28" s="19">
        <v>24</v>
      </c>
      <c r="E28" s="5" t="s">
        <v>607</v>
      </c>
      <c r="F28" s="5" t="s">
        <v>698</v>
      </c>
      <c r="G28" s="5" t="s">
        <v>698</v>
      </c>
      <c r="H28" s="6" t="s">
        <v>10</v>
      </c>
      <c r="I28" s="6" t="s">
        <v>17</v>
      </c>
      <c r="J28" s="6" t="s">
        <v>14</v>
      </c>
      <c r="K28" s="21" t="s">
        <v>1251</v>
      </c>
      <c r="L28" s="6" t="s">
        <v>701</v>
      </c>
      <c r="M28" s="6" t="s">
        <v>131</v>
      </c>
    </row>
    <row r="29" spans="1:13" s="13" customFormat="1" ht="84.6" x14ac:dyDescent="0.3">
      <c r="A29" s="6"/>
      <c r="B29" s="6"/>
      <c r="C29" s="6"/>
      <c r="D29" s="19">
        <v>25</v>
      </c>
      <c r="E29" s="5" t="s">
        <v>608</v>
      </c>
      <c r="F29" s="5" t="s">
        <v>699</v>
      </c>
      <c r="G29" s="5" t="s">
        <v>699</v>
      </c>
      <c r="H29" s="6" t="s">
        <v>10</v>
      </c>
      <c r="I29" s="6" t="s">
        <v>17</v>
      </c>
      <c r="J29" s="6" t="s">
        <v>14</v>
      </c>
      <c r="K29" s="21" t="s">
        <v>1252</v>
      </c>
      <c r="L29" s="6" t="s">
        <v>702</v>
      </c>
      <c r="M29" s="6" t="s">
        <v>132</v>
      </c>
    </row>
    <row r="30" spans="1:13" s="13" customFormat="1" ht="36.6" x14ac:dyDescent="0.3">
      <c r="A30" s="6"/>
      <c r="B30" s="6"/>
      <c r="C30" s="6"/>
      <c r="D30" s="19">
        <v>26</v>
      </c>
      <c r="E30" s="6" t="s">
        <v>31</v>
      </c>
      <c r="F30" s="5" t="s">
        <v>690</v>
      </c>
      <c r="G30" s="5" t="s">
        <v>690</v>
      </c>
      <c r="H30" s="6" t="s">
        <v>10</v>
      </c>
      <c r="I30" s="6" t="s">
        <v>17</v>
      </c>
      <c r="J30" s="6" t="s">
        <v>14</v>
      </c>
      <c r="K30" s="21" t="s">
        <v>1253</v>
      </c>
      <c r="L30" s="6" t="s">
        <v>703</v>
      </c>
      <c r="M30" s="6" t="s">
        <v>77</v>
      </c>
    </row>
    <row r="31" spans="1:13" s="13" customFormat="1" ht="36.6" x14ac:dyDescent="0.3">
      <c r="A31" s="6"/>
      <c r="B31" s="6"/>
      <c r="C31" s="6"/>
      <c r="D31" s="19">
        <v>27</v>
      </c>
      <c r="E31" s="20" t="s">
        <v>1457</v>
      </c>
      <c r="F31" s="20" t="s">
        <v>1474</v>
      </c>
      <c r="G31" s="20" t="s">
        <v>1475</v>
      </c>
      <c r="H31" s="20" t="s">
        <v>10</v>
      </c>
      <c r="I31" s="21" t="s">
        <v>17</v>
      </c>
      <c r="J31" s="20" t="s">
        <v>14</v>
      </c>
      <c r="K31" s="58" t="s">
        <v>1450</v>
      </c>
      <c r="L31" s="21" t="s">
        <v>1494</v>
      </c>
      <c r="M31" s="6"/>
    </row>
    <row r="32" spans="1:13" s="13" customFormat="1" ht="96.6" x14ac:dyDescent="0.3">
      <c r="A32" s="6"/>
      <c r="B32" s="6"/>
      <c r="C32" s="6"/>
      <c r="D32" s="19">
        <v>28</v>
      </c>
      <c r="E32" s="20" t="s">
        <v>1460</v>
      </c>
      <c r="F32" s="20" t="s">
        <v>1476</v>
      </c>
      <c r="G32" s="20" t="s">
        <v>1477</v>
      </c>
      <c r="H32" s="20" t="s">
        <v>10</v>
      </c>
      <c r="I32" s="21" t="s">
        <v>17</v>
      </c>
      <c r="J32" s="20" t="s">
        <v>14</v>
      </c>
      <c r="K32" s="58" t="s">
        <v>1449</v>
      </c>
      <c r="L32" s="21" t="s">
        <v>1510</v>
      </c>
      <c r="M32" s="6"/>
    </row>
    <row r="33" spans="1:13" s="13" customFormat="1" ht="60.6" x14ac:dyDescent="0.3">
      <c r="A33" s="6"/>
      <c r="B33" s="6"/>
      <c r="C33" s="6"/>
      <c r="D33" s="19">
        <v>29</v>
      </c>
      <c r="E33" s="6" t="s">
        <v>32</v>
      </c>
      <c r="F33" s="5" t="s">
        <v>691</v>
      </c>
      <c r="G33" s="5" t="s">
        <v>691</v>
      </c>
      <c r="H33" s="6" t="s">
        <v>13</v>
      </c>
      <c r="I33" s="6" t="s">
        <v>17</v>
      </c>
      <c r="J33" s="6"/>
      <c r="K33" s="6"/>
      <c r="L33" s="6" t="s">
        <v>704</v>
      </c>
      <c r="M33" s="6" t="s">
        <v>32</v>
      </c>
    </row>
    <row r="34" spans="1:13" s="13" customFormat="1" ht="48.6" x14ac:dyDescent="0.3">
      <c r="A34" s="6"/>
      <c r="B34" s="6"/>
      <c r="C34" s="6"/>
      <c r="D34" s="19">
        <v>30</v>
      </c>
      <c r="E34" s="6" t="s">
        <v>33</v>
      </c>
      <c r="F34" s="5" t="s">
        <v>692</v>
      </c>
      <c r="G34" s="5" t="s">
        <v>693</v>
      </c>
      <c r="H34" s="6" t="s">
        <v>13</v>
      </c>
      <c r="I34" s="6" t="s">
        <v>17</v>
      </c>
      <c r="J34" s="6" t="s">
        <v>14</v>
      </c>
      <c r="K34" s="21" t="s">
        <v>1254</v>
      </c>
      <c r="L34" s="6" t="s">
        <v>1217</v>
      </c>
      <c r="M34" s="6" t="s">
        <v>33</v>
      </c>
    </row>
    <row r="35" spans="1:13" s="13" customFormat="1" ht="48.6" x14ac:dyDescent="0.3">
      <c r="A35" s="6"/>
      <c r="B35" s="6"/>
      <c r="C35" s="6"/>
      <c r="D35" s="19">
        <v>31</v>
      </c>
      <c r="E35" s="6" t="s">
        <v>34</v>
      </c>
      <c r="F35" s="5" t="s">
        <v>694</v>
      </c>
      <c r="G35" s="5" t="s">
        <v>695</v>
      </c>
      <c r="H35" s="6" t="s">
        <v>13</v>
      </c>
      <c r="I35" s="6" t="s">
        <v>17</v>
      </c>
      <c r="J35" s="6"/>
      <c r="K35" s="6"/>
      <c r="L35" s="21" t="s">
        <v>1227</v>
      </c>
      <c r="M35" s="6" t="s">
        <v>133</v>
      </c>
    </row>
    <row r="36" spans="1:13" ht="48.6" x14ac:dyDescent="0.3">
      <c r="A36" s="6"/>
      <c r="B36" s="5"/>
      <c r="C36" s="5"/>
      <c r="D36" s="19">
        <v>32</v>
      </c>
      <c r="E36" s="5" t="s">
        <v>21</v>
      </c>
      <c r="F36" s="5" t="s">
        <v>497</v>
      </c>
      <c r="G36" s="5" t="s">
        <v>497</v>
      </c>
      <c r="H36" s="5" t="s">
        <v>10</v>
      </c>
      <c r="I36" s="5" t="s">
        <v>11</v>
      </c>
      <c r="J36" s="5" t="s">
        <v>14</v>
      </c>
      <c r="K36" s="6" t="s">
        <v>1262</v>
      </c>
      <c r="L36" s="6" t="s">
        <v>670</v>
      </c>
      <c r="M36" s="6" t="s">
        <v>170</v>
      </c>
    </row>
    <row r="37" spans="1:13" ht="60.6" x14ac:dyDescent="0.3">
      <c r="A37" s="6"/>
      <c r="B37" s="5"/>
      <c r="C37" s="5"/>
      <c r="D37" s="19">
        <v>33</v>
      </c>
      <c r="E37" s="5" t="s">
        <v>1130</v>
      </c>
      <c r="F37" s="5" t="s">
        <v>526</v>
      </c>
      <c r="G37" s="5" t="s">
        <v>527</v>
      </c>
      <c r="H37" s="5" t="s">
        <v>13</v>
      </c>
      <c r="I37" s="5" t="s">
        <v>17</v>
      </c>
      <c r="J37" s="5"/>
      <c r="K37" s="6"/>
      <c r="L37" s="6" t="s">
        <v>1005</v>
      </c>
      <c r="M37" s="6" t="s">
        <v>171</v>
      </c>
    </row>
    <row r="38" spans="1:13" ht="60.6" x14ac:dyDescent="0.3">
      <c r="A38" s="6"/>
      <c r="B38" s="5"/>
      <c r="C38" s="5"/>
      <c r="D38" s="19">
        <v>34</v>
      </c>
      <c r="E38" s="5" t="s">
        <v>1133</v>
      </c>
      <c r="F38" s="5" t="s">
        <v>525</v>
      </c>
      <c r="G38" s="5" t="s">
        <v>528</v>
      </c>
      <c r="H38" s="5" t="s">
        <v>13</v>
      </c>
      <c r="I38" s="5" t="s">
        <v>17</v>
      </c>
      <c r="J38" s="5"/>
      <c r="K38" s="6"/>
      <c r="L38" s="6" t="s">
        <v>1006</v>
      </c>
      <c r="M38" s="6" t="s">
        <v>172</v>
      </c>
    </row>
    <row r="39" spans="1:13" ht="24.6" x14ac:dyDescent="0.3">
      <c r="A39" s="6"/>
      <c r="B39" s="5"/>
      <c r="C39" s="5"/>
      <c r="D39" s="19">
        <v>35</v>
      </c>
      <c r="E39" s="5" t="s">
        <v>1131</v>
      </c>
      <c r="F39" s="6" t="s">
        <v>812</v>
      </c>
      <c r="G39" s="6" t="s">
        <v>795</v>
      </c>
      <c r="H39" s="5" t="s">
        <v>1293</v>
      </c>
      <c r="I39" s="5" t="s">
        <v>84</v>
      </c>
      <c r="J39" s="55" t="s">
        <v>1294</v>
      </c>
      <c r="K39" s="6"/>
      <c r="L39" s="6" t="s">
        <v>23</v>
      </c>
      <c r="M39" s="6" t="s">
        <v>174</v>
      </c>
    </row>
    <row r="40" spans="1:13" x14ac:dyDescent="0.3">
      <c r="A40" s="6"/>
      <c r="B40" s="5"/>
      <c r="C40" s="5"/>
      <c r="D40" s="19">
        <v>36</v>
      </c>
      <c r="E40" s="5" t="s">
        <v>1132</v>
      </c>
      <c r="F40" s="5" t="s">
        <v>766</v>
      </c>
      <c r="G40" s="5" t="s">
        <v>778</v>
      </c>
      <c r="H40" s="5" t="s">
        <v>1293</v>
      </c>
      <c r="I40" s="5" t="s">
        <v>84</v>
      </c>
      <c r="J40" s="55" t="s">
        <v>1294</v>
      </c>
      <c r="K40" s="6"/>
      <c r="L40" s="6" t="s">
        <v>24</v>
      </c>
      <c r="M40" s="6" t="s">
        <v>173</v>
      </c>
    </row>
    <row r="41" spans="1:13" s="13" customFormat="1" x14ac:dyDescent="0.3">
      <c r="A41" s="6"/>
      <c r="B41" s="6"/>
      <c r="C41" s="6"/>
      <c r="D41" s="19">
        <v>37</v>
      </c>
      <c r="E41" s="6" t="s">
        <v>612</v>
      </c>
      <c r="F41" s="5" t="s">
        <v>936</v>
      </c>
      <c r="G41" s="5" t="s">
        <v>938</v>
      </c>
      <c r="H41" s="29" t="s">
        <v>1287</v>
      </c>
      <c r="I41" s="21" t="s">
        <v>84</v>
      </c>
      <c r="J41" s="21" t="s">
        <v>1301</v>
      </c>
      <c r="K41" s="6"/>
      <c r="L41" s="6" t="s">
        <v>815</v>
      </c>
      <c r="M41" s="6" t="s">
        <v>612</v>
      </c>
    </row>
    <row r="42" spans="1:13" x14ac:dyDescent="0.3">
      <c r="A42" s="6"/>
      <c r="B42" s="6"/>
      <c r="C42" s="6"/>
      <c r="D42" s="19">
        <v>38</v>
      </c>
      <c r="E42" s="6" t="s">
        <v>117</v>
      </c>
      <c r="F42" s="5" t="s">
        <v>937</v>
      </c>
      <c r="G42" s="6" t="s">
        <v>939</v>
      </c>
      <c r="H42" s="29" t="s">
        <v>1287</v>
      </c>
      <c r="I42" s="21" t="s">
        <v>84</v>
      </c>
      <c r="J42" s="2" t="s">
        <v>1301</v>
      </c>
      <c r="K42" s="6"/>
      <c r="L42" s="6" t="s">
        <v>818</v>
      </c>
      <c r="M42" s="6" t="s">
        <v>117</v>
      </c>
    </row>
    <row r="43" spans="1:13" ht="24.6" x14ac:dyDescent="0.3">
      <c r="A43" s="6"/>
      <c r="B43" s="5"/>
      <c r="C43" s="5"/>
      <c r="D43" s="19">
        <v>39</v>
      </c>
      <c r="E43" s="5" t="s">
        <v>39</v>
      </c>
      <c r="F43" s="5" t="s">
        <v>404</v>
      </c>
      <c r="G43" s="5" t="s">
        <v>405</v>
      </c>
      <c r="H43" s="5" t="s">
        <v>10</v>
      </c>
      <c r="I43" s="5" t="s">
        <v>93</v>
      </c>
      <c r="J43" s="5" t="s">
        <v>14</v>
      </c>
      <c r="K43" s="21" t="s">
        <v>1237</v>
      </c>
      <c r="L43" s="6" t="s">
        <v>175</v>
      </c>
      <c r="M43" s="6" t="s">
        <v>175</v>
      </c>
    </row>
    <row r="44" spans="1:13" x14ac:dyDescent="0.3">
      <c r="A44" s="6"/>
      <c r="B44" s="2"/>
      <c r="C44" s="5"/>
      <c r="D44" s="19">
        <v>40</v>
      </c>
      <c r="E44" s="51" t="s">
        <v>589</v>
      </c>
      <c r="F44" s="40" t="s">
        <v>597</v>
      </c>
      <c r="G44" s="40" t="s">
        <v>597</v>
      </c>
      <c r="H44" s="51" t="s">
        <v>10</v>
      </c>
      <c r="I44" s="51" t="s">
        <v>93</v>
      </c>
      <c r="J44" s="2"/>
      <c r="K44" s="6"/>
      <c r="L44" s="51" t="s">
        <v>657</v>
      </c>
      <c r="M44" s="51" t="s">
        <v>588</v>
      </c>
    </row>
    <row r="45" spans="1:13" ht="36.6" x14ac:dyDescent="0.3">
      <c r="A45" s="6"/>
      <c r="B45" s="5"/>
      <c r="C45" s="5"/>
      <c r="D45" s="19">
        <v>41</v>
      </c>
      <c r="E45" s="5" t="s">
        <v>1134</v>
      </c>
      <c r="F45" s="5" t="s">
        <v>503</v>
      </c>
      <c r="G45" s="5" t="s">
        <v>504</v>
      </c>
      <c r="H45" s="5" t="s">
        <v>10</v>
      </c>
      <c r="I45" s="5" t="s">
        <v>86</v>
      </c>
      <c r="J45" s="5" t="s">
        <v>14</v>
      </c>
      <c r="K45" s="6" t="s">
        <v>1263</v>
      </c>
      <c r="L45" s="6" t="s">
        <v>176</v>
      </c>
      <c r="M45" s="6" t="s">
        <v>177</v>
      </c>
    </row>
    <row r="46" spans="1:13" ht="36.6" x14ac:dyDescent="0.3">
      <c r="A46" s="19"/>
      <c r="B46" s="19"/>
      <c r="C46" s="19"/>
      <c r="D46" s="19">
        <v>42</v>
      </c>
      <c r="E46" s="6" t="s">
        <v>245</v>
      </c>
      <c r="F46" s="6" t="s">
        <v>502</v>
      </c>
      <c r="G46" s="6" t="s">
        <v>502</v>
      </c>
      <c r="H46" s="6" t="s">
        <v>10</v>
      </c>
      <c r="I46" s="6" t="s">
        <v>17</v>
      </c>
      <c r="J46" s="6" t="s">
        <v>14</v>
      </c>
      <c r="K46" s="6" t="s">
        <v>1285</v>
      </c>
      <c r="L46" s="6" t="s">
        <v>1286</v>
      </c>
      <c r="M46" s="6" t="s">
        <v>602</v>
      </c>
    </row>
    <row r="47" spans="1:13" ht="24.6" x14ac:dyDescent="0.3">
      <c r="A47" s="6"/>
      <c r="B47" s="6"/>
      <c r="C47" s="6"/>
      <c r="D47" s="19">
        <v>43</v>
      </c>
      <c r="E47" s="5" t="s">
        <v>676</v>
      </c>
      <c r="F47" s="5" t="s">
        <v>874</v>
      </c>
      <c r="G47" s="5" t="s">
        <v>875</v>
      </c>
      <c r="H47" s="6" t="s">
        <v>10</v>
      </c>
      <c r="I47" s="5" t="s">
        <v>93</v>
      </c>
      <c r="J47" s="5" t="s">
        <v>14</v>
      </c>
      <c r="K47" s="21" t="s">
        <v>1231</v>
      </c>
      <c r="L47" s="6" t="s">
        <v>682</v>
      </c>
      <c r="M47" s="5"/>
    </row>
    <row r="48" spans="1:13" ht="24.6" x14ac:dyDescent="0.3">
      <c r="A48" s="6"/>
      <c r="B48" s="6"/>
      <c r="C48" s="6"/>
      <c r="D48" s="19">
        <v>44</v>
      </c>
      <c r="E48" s="21" t="s">
        <v>244</v>
      </c>
      <c r="F48" s="21" t="s">
        <v>1304</v>
      </c>
      <c r="G48" s="21" t="s">
        <v>1305</v>
      </c>
      <c r="H48" s="21" t="s">
        <v>10</v>
      </c>
      <c r="I48" s="21" t="s">
        <v>84</v>
      </c>
      <c r="J48" s="21" t="s">
        <v>14</v>
      </c>
      <c r="K48" s="6" t="s">
        <v>1233</v>
      </c>
      <c r="L48" s="21" t="s">
        <v>244</v>
      </c>
      <c r="M48" s="21" t="s">
        <v>244</v>
      </c>
    </row>
    <row r="49" spans="1:13" ht="24.6" x14ac:dyDescent="0.3">
      <c r="A49" s="6"/>
      <c r="B49" s="6"/>
      <c r="C49" s="6"/>
      <c r="D49" s="19">
        <v>45</v>
      </c>
      <c r="E49" s="21" t="s">
        <v>1307</v>
      </c>
      <c r="F49" s="21" t="s">
        <v>1318</v>
      </c>
      <c r="G49" s="20" t="s">
        <v>1319</v>
      </c>
      <c r="H49" s="21" t="s">
        <v>10</v>
      </c>
      <c r="I49" s="21" t="s">
        <v>1309</v>
      </c>
      <c r="J49" s="21" t="s">
        <v>14</v>
      </c>
      <c r="K49" s="21" t="s">
        <v>1231</v>
      </c>
      <c r="L49" s="21" t="s">
        <v>1308</v>
      </c>
      <c r="M49" s="21" t="s">
        <v>1308</v>
      </c>
    </row>
    <row r="50" spans="1:13" ht="24.6" x14ac:dyDescent="0.3">
      <c r="A50" s="19"/>
      <c r="B50" s="19"/>
      <c r="C50" s="19"/>
      <c r="D50" s="19">
        <v>46</v>
      </c>
      <c r="E50" s="6" t="s">
        <v>260</v>
      </c>
      <c r="F50" s="6" t="s">
        <v>498</v>
      </c>
      <c r="G50" s="6" t="s">
        <v>500</v>
      </c>
      <c r="H50" s="6" t="s">
        <v>10</v>
      </c>
      <c r="I50" s="5" t="s">
        <v>84</v>
      </c>
      <c r="J50" s="6" t="s">
        <v>14</v>
      </c>
      <c r="K50" s="6" t="s">
        <v>1233</v>
      </c>
      <c r="L50" s="6" t="s">
        <v>674</v>
      </c>
      <c r="M50" s="6" t="s">
        <v>260</v>
      </c>
    </row>
    <row r="51" spans="1:13" ht="24.6" x14ac:dyDescent="0.3">
      <c r="A51" s="19"/>
      <c r="B51" s="19"/>
      <c r="C51" s="19"/>
      <c r="D51" s="19">
        <v>47</v>
      </c>
      <c r="E51" s="5" t="s">
        <v>261</v>
      </c>
      <c r="F51" s="6" t="s">
        <v>499</v>
      </c>
      <c r="G51" s="6" t="s">
        <v>501</v>
      </c>
      <c r="H51" s="6" t="s">
        <v>10</v>
      </c>
      <c r="I51" s="5" t="s">
        <v>84</v>
      </c>
      <c r="J51" s="6" t="s">
        <v>14</v>
      </c>
      <c r="K51" s="6" t="s">
        <v>1233</v>
      </c>
      <c r="L51" s="5" t="s">
        <v>675</v>
      </c>
      <c r="M51" s="5" t="s">
        <v>261</v>
      </c>
    </row>
    <row r="52" spans="1:13" ht="60.6" x14ac:dyDescent="0.3">
      <c r="A52" s="6"/>
      <c r="B52" s="5"/>
      <c r="C52" s="5"/>
      <c r="D52" s="19">
        <v>48</v>
      </c>
      <c r="E52" s="5" t="s">
        <v>1135</v>
      </c>
      <c r="F52" s="5" t="s">
        <v>520</v>
      </c>
      <c r="G52" s="5" t="s">
        <v>523</v>
      </c>
      <c r="H52" s="5" t="s">
        <v>13</v>
      </c>
      <c r="I52" s="5" t="s">
        <v>17</v>
      </c>
      <c r="J52" s="5"/>
      <c r="K52" s="6"/>
      <c r="L52" s="6" t="s">
        <v>861</v>
      </c>
      <c r="M52" s="6" t="s">
        <v>171</v>
      </c>
    </row>
    <row r="53" spans="1:13" ht="24.6" x14ac:dyDescent="0.3">
      <c r="A53" s="6"/>
      <c r="B53" s="5"/>
      <c r="C53" s="5"/>
      <c r="D53" s="19">
        <v>49</v>
      </c>
      <c r="E53" s="6" t="s">
        <v>1478</v>
      </c>
      <c r="F53" s="6" t="s">
        <v>1479</v>
      </c>
      <c r="G53" s="6" t="s">
        <v>1480</v>
      </c>
      <c r="H53" s="6" t="s">
        <v>10</v>
      </c>
      <c r="I53" s="5" t="s">
        <v>17</v>
      </c>
      <c r="J53" s="6" t="s">
        <v>14</v>
      </c>
      <c r="K53" s="58" t="s">
        <v>1450</v>
      </c>
      <c r="L53" s="21" t="s">
        <v>1508</v>
      </c>
      <c r="M53" s="6"/>
    </row>
    <row r="54" spans="1:13" ht="60.6" x14ac:dyDescent="0.3">
      <c r="A54" s="6"/>
      <c r="B54" s="5"/>
      <c r="C54" s="5"/>
      <c r="D54" s="19">
        <v>50</v>
      </c>
      <c r="E54" s="5" t="s">
        <v>1136</v>
      </c>
      <c r="F54" s="5" t="s">
        <v>521</v>
      </c>
      <c r="G54" s="5" t="s">
        <v>522</v>
      </c>
      <c r="H54" s="5" t="s">
        <v>13</v>
      </c>
      <c r="I54" s="5" t="s">
        <v>17</v>
      </c>
      <c r="J54" s="5"/>
      <c r="K54" s="6"/>
      <c r="L54" s="6" t="s">
        <v>863</v>
      </c>
      <c r="M54" s="6" t="s">
        <v>172</v>
      </c>
    </row>
    <row r="55" spans="1:13" ht="36.6" x14ac:dyDescent="0.3">
      <c r="A55" s="6"/>
      <c r="B55" s="5"/>
      <c r="C55" s="5"/>
      <c r="D55" s="19">
        <v>51</v>
      </c>
      <c r="E55" s="5" t="s">
        <v>1137</v>
      </c>
      <c r="F55" s="20" t="s">
        <v>1198</v>
      </c>
      <c r="G55" s="20" t="s">
        <v>1199</v>
      </c>
      <c r="H55" s="5" t="s">
        <v>1295</v>
      </c>
      <c r="I55" s="5" t="s">
        <v>17</v>
      </c>
      <c r="J55" s="5" t="s">
        <v>1296</v>
      </c>
      <c r="K55" s="6"/>
      <c r="L55" s="6" t="s">
        <v>669</v>
      </c>
      <c r="M55" s="6" t="s">
        <v>524</v>
      </c>
    </row>
    <row r="56" spans="1:13" ht="48.6" x14ac:dyDescent="0.3">
      <c r="A56" s="5"/>
      <c r="B56" s="5"/>
      <c r="C56" s="5"/>
      <c r="D56" s="19">
        <v>52</v>
      </c>
      <c r="E56" s="21" t="s">
        <v>1328</v>
      </c>
      <c r="F56" s="46" t="s">
        <v>1416</v>
      </c>
      <c r="G56" s="21" t="s">
        <v>1417</v>
      </c>
      <c r="H56" s="21" t="s">
        <v>1295</v>
      </c>
      <c r="I56" s="21" t="s">
        <v>84</v>
      </c>
      <c r="J56" s="21"/>
      <c r="K56" s="21"/>
      <c r="L56" s="21" t="s">
        <v>1329</v>
      </c>
      <c r="M56" s="21" t="s">
        <v>1330</v>
      </c>
    </row>
    <row r="57" spans="1:13" ht="36.6" x14ac:dyDescent="0.3">
      <c r="A57" s="5"/>
      <c r="B57" s="5"/>
      <c r="C57" s="5"/>
      <c r="D57" s="19">
        <v>53</v>
      </c>
      <c r="E57" s="21" t="s">
        <v>1331</v>
      </c>
      <c r="F57" s="46" t="s">
        <v>1418</v>
      </c>
      <c r="G57" s="21" t="s">
        <v>1419</v>
      </c>
      <c r="H57" s="21" t="s">
        <v>1295</v>
      </c>
      <c r="I57" s="21" t="s">
        <v>84</v>
      </c>
      <c r="J57" s="21"/>
      <c r="K57" s="21"/>
      <c r="L57" s="21" t="s">
        <v>1332</v>
      </c>
      <c r="M57" s="21" t="s">
        <v>1333</v>
      </c>
    </row>
    <row r="58" spans="1:13" ht="36.6" x14ac:dyDescent="0.3">
      <c r="A58" s="5"/>
      <c r="B58" s="5"/>
      <c r="C58" s="5"/>
      <c r="D58" s="19">
        <v>54</v>
      </c>
      <c r="E58" s="21" t="s">
        <v>1334</v>
      </c>
      <c r="F58" s="46" t="s">
        <v>1420</v>
      </c>
      <c r="G58" s="21" t="s">
        <v>1421</v>
      </c>
      <c r="H58" s="21" t="s">
        <v>10</v>
      </c>
      <c r="I58" s="21" t="s">
        <v>84</v>
      </c>
      <c r="J58" s="21" t="s">
        <v>1335</v>
      </c>
      <c r="K58" s="21" t="s">
        <v>1336</v>
      </c>
      <c r="L58" s="21" t="s">
        <v>1337</v>
      </c>
      <c r="M58" s="21" t="s">
        <v>1338</v>
      </c>
    </row>
    <row r="59" spans="1:13" ht="48" x14ac:dyDescent="0.3">
      <c r="A59" s="5"/>
      <c r="B59" s="5"/>
      <c r="C59" s="5"/>
      <c r="D59" s="19">
        <v>55</v>
      </c>
      <c r="E59" s="21" t="s">
        <v>1339</v>
      </c>
      <c r="F59" s="46" t="s">
        <v>1422</v>
      </c>
      <c r="G59" s="21" t="s">
        <v>1423</v>
      </c>
      <c r="H59" s="21" t="s">
        <v>10</v>
      </c>
      <c r="I59" s="21" t="s">
        <v>84</v>
      </c>
      <c r="J59" s="21" t="s">
        <v>14</v>
      </c>
      <c r="K59" s="29" t="s">
        <v>1341</v>
      </c>
      <c r="L59" s="21" t="s">
        <v>1342</v>
      </c>
      <c r="M59" s="21" t="s">
        <v>1340</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7"/>
  <sheetViews>
    <sheetView topLeftCell="A10" workbookViewId="0">
      <selection activeCell="B5" sqref="B5:B14"/>
    </sheetView>
  </sheetViews>
  <sheetFormatPr defaultColWidth="8.77734375" defaultRowHeight="14.4" x14ac:dyDescent="0.3"/>
  <cols>
    <col min="1" max="1" width="6.21875" bestFit="1" customWidth="1"/>
    <col min="2" max="2" width="5.77734375" customWidth="1"/>
    <col min="3" max="3" width="15.21875" customWidth="1"/>
    <col min="4" max="4" width="5.77734375" customWidth="1"/>
    <col min="5" max="5" width="32.21875" bestFit="1" customWidth="1"/>
    <col min="6" max="6" width="32.21875" customWidth="1"/>
    <col min="7" max="7" width="17" customWidth="1"/>
    <col min="8" max="8" width="14" customWidth="1"/>
    <col min="9" max="9" width="9.21875" customWidth="1"/>
    <col min="10" max="10" width="9.21875" bestFit="1" customWidth="1"/>
    <col min="11" max="11" width="23" style="7" customWidth="1"/>
    <col min="12" max="12" width="52.44140625" bestFit="1" customWidth="1"/>
    <col min="13" max="13" width="41.77734375" customWidth="1"/>
  </cols>
  <sheetData>
    <row r="1" spans="1:13" ht="24.6" x14ac:dyDescent="0.3">
      <c r="A1" s="25" t="s">
        <v>41</v>
      </c>
      <c r="B1" s="26" t="s">
        <v>99</v>
      </c>
      <c r="C1" s="26" t="s">
        <v>105</v>
      </c>
      <c r="D1" s="26" t="s">
        <v>5</v>
      </c>
      <c r="E1" s="26" t="s">
        <v>984</v>
      </c>
      <c r="F1" s="26" t="s">
        <v>100</v>
      </c>
      <c r="G1" s="26" t="s">
        <v>288</v>
      </c>
      <c r="H1" s="26" t="s">
        <v>6</v>
      </c>
      <c r="I1" s="26" t="s">
        <v>215</v>
      </c>
      <c r="J1" s="26" t="s">
        <v>7</v>
      </c>
      <c r="K1" s="26" t="s">
        <v>987</v>
      </c>
      <c r="L1" s="26" t="s">
        <v>8</v>
      </c>
      <c r="M1" s="26" t="s">
        <v>98</v>
      </c>
    </row>
    <row r="2" spans="1:13" ht="24.6" x14ac:dyDescent="0.3">
      <c r="A2" s="6" t="s">
        <v>12</v>
      </c>
      <c r="B2" s="6" t="s">
        <v>57</v>
      </c>
      <c r="C2" s="6"/>
      <c r="D2" s="6" t="s">
        <v>849</v>
      </c>
      <c r="E2" s="6" t="s">
        <v>232</v>
      </c>
      <c r="F2" s="6" t="s">
        <v>388</v>
      </c>
      <c r="G2" s="6" t="s">
        <v>388</v>
      </c>
      <c r="H2" s="6" t="s">
        <v>13</v>
      </c>
      <c r="I2" s="6"/>
      <c r="J2" s="6"/>
      <c r="K2" s="6"/>
      <c r="L2" s="6" t="s">
        <v>620</v>
      </c>
      <c r="M2" s="6" t="s">
        <v>102</v>
      </c>
    </row>
    <row r="3" spans="1:13" ht="24.6" x14ac:dyDescent="0.3">
      <c r="A3" s="6" t="s">
        <v>12</v>
      </c>
      <c r="B3" s="6" t="s">
        <v>1</v>
      </c>
      <c r="C3" s="6" t="s">
        <v>214</v>
      </c>
      <c r="D3" s="6" t="s">
        <v>849</v>
      </c>
      <c r="E3" s="6" t="s">
        <v>541</v>
      </c>
      <c r="F3" s="6" t="s">
        <v>383</v>
      </c>
      <c r="G3" s="6" t="s">
        <v>383</v>
      </c>
      <c r="H3" s="6" t="s">
        <v>13</v>
      </c>
      <c r="I3" s="6"/>
      <c r="J3" s="6"/>
      <c r="K3" s="6"/>
      <c r="L3" s="6" t="s">
        <v>732</v>
      </c>
      <c r="M3" s="6" t="s">
        <v>181</v>
      </c>
    </row>
    <row r="4" spans="1:13" x14ac:dyDescent="0.3">
      <c r="A4" s="5"/>
      <c r="B4" s="5"/>
      <c r="C4" s="5"/>
      <c r="D4" s="19">
        <v>1</v>
      </c>
      <c r="E4" s="5" t="s">
        <v>9</v>
      </c>
      <c r="F4" s="6" t="s">
        <v>378</v>
      </c>
      <c r="G4" s="6" t="s">
        <v>379</v>
      </c>
      <c r="H4" s="5" t="s">
        <v>10</v>
      </c>
      <c r="I4" s="5" t="s">
        <v>11</v>
      </c>
      <c r="J4" s="5"/>
      <c r="K4" s="6"/>
      <c r="L4" s="6" t="s">
        <v>237</v>
      </c>
      <c r="M4" s="6" t="s">
        <v>237</v>
      </c>
    </row>
    <row r="5" spans="1:13" s="13" customFormat="1" ht="60.6" x14ac:dyDescent="0.3">
      <c r="A5" s="27"/>
      <c r="B5" s="20"/>
      <c r="C5" s="20"/>
      <c r="D5" s="30">
        <v>2</v>
      </c>
      <c r="E5" s="20" t="s">
        <v>1047</v>
      </c>
      <c r="F5" s="20" t="s">
        <v>1203</v>
      </c>
      <c r="G5" s="20" t="s">
        <v>1204</v>
      </c>
      <c r="H5" s="20" t="s">
        <v>10</v>
      </c>
      <c r="I5" s="20" t="s">
        <v>11</v>
      </c>
      <c r="J5" s="20" t="s">
        <v>14</v>
      </c>
      <c r="K5" s="21" t="s">
        <v>1274</v>
      </c>
      <c r="L5" s="21" t="s">
        <v>1158</v>
      </c>
      <c r="M5" s="21" t="s">
        <v>1047</v>
      </c>
    </row>
    <row r="6" spans="1:13" ht="36.6" x14ac:dyDescent="0.3">
      <c r="A6" s="6"/>
      <c r="B6" s="20"/>
      <c r="C6" s="20"/>
      <c r="D6" s="30">
        <v>3</v>
      </c>
      <c r="E6" s="20" t="s">
        <v>22</v>
      </c>
      <c r="F6" s="20" t="s">
        <v>1045</v>
      </c>
      <c r="G6" s="20" t="s">
        <v>1046</v>
      </c>
      <c r="H6" s="20" t="s">
        <v>10</v>
      </c>
      <c r="I6" s="20" t="s">
        <v>11</v>
      </c>
      <c r="J6" s="20" t="s">
        <v>14</v>
      </c>
      <c r="K6" s="21" t="s">
        <v>1284</v>
      </c>
      <c r="L6" s="21" t="s">
        <v>1050</v>
      </c>
      <c r="M6" s="21" t="s">
        <v>1048</v>
      </c>
    </row>
    <row r="7" spans="1:13" ht="24.6" x14ac:dyDescent="0.3">
      <c r="A7" s="5"/>
      <c r="B7" s="20"/>
      <c r="C7" s="20" t="s">
        <v>214</v>
      </c>
      <c r="D7" s="30">
        <v>4</v>
      </c>
      <c r="E7" s="20" t="s">
        <v>1056</v>
      </c>
      <c r="F7" s="20" t="s">
        <v>1054</v>
      </c>
      <c r="G7" s="20" t="s">
        <v>1055</v>
      </c>
      <c r="H7" s="20" t="s">
        <v>13</v>
      </c>
      <c r="I7" s="20" t="s">
        <v>11</v>
      </c>
      <c r="J7" s="20"/>
      <c r="K7" s="21"/>
      <c r="L7" s="21" t="s">
        <v>1057</v>
      </c>
      <c r="M7" s="21" t="s">
        <v>540</v>
      </c>
    </row>
    <row r="8" spans="1:13" ht="36.6" x14ac:dyDescent="0.3">
      <c r="A8" s="5"/>
      <c r="B8" s="20"/>
      <c r="C8" s="20"/>
      <c r="D8" s="30">
        <v>5</v>
      </c>
      <c r="E8" s="20" t="s">
        <v>234</v>
      </c>
      <c r="F8" s="20" t="s">
        <v>423</v>
      </c>
      <c r="G8" s="20" t="s">
        <v>424</v>
      </c>
      <c r="H8" s="20" t="s">
        <v>13</v>
      </c>
      <c r="I8" s="20" t="s">
        <v>11</v>
      </c>
      <c r="J8" s="20"/>
      <c r="K8" s="21"/>
      <c r="L8" s="21" t="s">
        <v>542</v>
      </c>
      <c r="M8" s="21" t="s">
        <v>543</v>
      </c>
    </row>
    <row r="9" spans="1:13" ht="24.6" x14ac:dyDescent="0.3">
      <c r="A9" s="20"/>
      <c r="B9" s="20"/>
      <c r="C9" s="20"/>
      <c r="D9" s="30">
        <v>6</v>
      </c>
      <c r="E9" s="20" t="s">
        <v>1058</v>
      </c>
      <c r="F9" s="20" t="s">
        <v>1059</v>
      </c>
      <c r="G9" s="20" t="s">
        <v>1060</v>
      </c>
      <c r="H9" s="20" t="s">
        <v>10</v>
      </c>
      <c r="I9" s="20" t="s">
        <v>11</v>
      </c>
      <c r="J9" s="20" t="s">
        <v>14</v>
      </c>
      <c r="K9" s="21" t="s">
        <v>1275</v>
      </c>
      <c r="L9" s="21" t="s">
        <v>1065</v>
      </c>
      <c r="M9" s="21" t="s">
        <v>429</v>
      </c>
    </row>
    <row r="10" spans="1:13" ht="24.6" x14ac:dyDescent="0.3">
      <c r="A10" s="20"/>
      <c r="B10" s="20"/>
      <c r="C10" s="20"/>
      <c r="D10" s="30">
        <v>7</v>
      </c>
      <c r="E10" s="20" t="s">
        <v>192</v>
      </c>
      <c r="F10" s="20" t="s">
        <v>1169</v>
      </c>
      <c r="G10" s="20" t="s">
        <v>1169</v>
      </c>
      <c r="H10" s="20" t="s">
        <v>10</v>
      </c>
      <c r="I10" s="20" t="s">
        <v>17</v>
      </c>
      <c r="J10" s="20" t="s">
        <v>14</v>
      </c>
      <c r="K10" s="21" t="s">
        <v>1276</v>
      </c>
      <c r="L10" s="29" t="s">
        <v>1424</v>
      </c>
      <c r="M10" s="20" t="s">
        <v>192</v>
      </c>
    </row>
    <row r="11" spans="1:13" ht="36.6" x14ac:dyDescent="0.3">
      <c r="A11" s="20"/>
      <c r="B11" s="20"/>
      <c r="C11" s="20"/>
      <c r="D11" s="30">
        <v>8</v>
      </c>
      <c r="E11" s="20" t="s">
        <v>544</v>
      </c>
      <c r="F11" s="20" t="s">
        <v>877</v>
      </c>
      <c r="G11" s="20" t="s">
        <v>878</v>
      </c>
      <c r="H11" s="20" t="s">
        <v>10</v>
      </c>
      <c r="I11" s="20" t="s">
        <v>17</v>
      </c>
      <c r="J11" s="20" t="s">
        <v>14</v>
      </c>
      <c r="K11" s="21" t="s">
        <v>1277</v>
      </c>
      <c r="L11" s="21" t="s">
        <v>545</v>
      </c>
      <c r="M11" s="21" t="s">
        <v>546</v>
      </c>
    </row>
    <row r="12" spans="1:13" ht="36.6" x14ac:dyDescent="0.3">
      <c r="A12" s="21"/>
      <c r="B12" s="20"/>
      <c r="C12" s="20"/>
      <c r="D12" s="30">
        <v>9</v>
      </c>
      <c r="E12" s="20" t="s">
        <v>235</v>
      </c>
      <c r="F12" s="20" t="s">
        <v>425</v>
      </c>
      <c r="G12" s="20" t="s">
        <v>425</v>
      </c>
      <c r="H12" s="20" t="s">
        <v>10</v>
      </c>
      <c r="I12" s="20" t="s">
        <v>17</v>
      </c>
      <c r="J12" s="20" t="s">
        <v>14</v>
      </c>
      <c r="K12" s="21" t="s">
        <v>1278</v>
      </c>
      <c r="L12" s="21" t="s">
        <v>236</v>
      </c>
      <c r="M12" s="21" t="s">
        <v>182</v>
      </c>
    </row>
    <row r="13" spans="1:13" s="13" customFormat="1" ht="24.6" x14ac:dyDescent="0.3">
      <c r="A13" s="41"/>
      <c r="B13" s="20"/>
      <c r="C13" s="20"/>
      <c r="D13" s="30">
        <v>10</v>
      </c>
      <c r="E13" s="20" t="s">
        <v>1062</v>
      </c>
      <c r="F13" s="20" t="s">
        <v>1061</v>
      </c>
      <c r="G13" s="20" t="s">
        <v>1163</v>
      </c>
      <c r="H13" s="20" t="s">
        <v>1297</v>
      </c>
      <c r="I13" s="20" t="s">
        <v>11</v>
      </c>
      <c r="J13" s="20" t="s">
        <v>1298</v>
      </c>
      <c r="K13" s="21"/>
      <c r="L13" s="21" t="s">
        <v>1302</v>
      </c>
      <c r="M13" s="21"/>
    </row>
    <row r="14" spans="1:13" s="13" customFormat="1" ht="102.75" customHeight="1" x14ac:dyDescent="0.3">
      <c r="A14" s="41"/>
      <c r="B14" s="20"/>
      <c r="C14" s="20"/>
      <c r="D14" s="30">
        <v>11</v>
      </c>
      <c r="E14" s="20" t="s">
        <v>1064</v>
      </c>
      <c r="F14" s="20" t="s">
        <v>1063</v>
      </c>
      <c r="G14" s="20" t="s">
        <v>1164</v>
      </c>
      <c r="H14" s="20" t="s">
        <v>10</v>
      </c>
      <c r="I14" s="20" t="s">
        <v>11</v>
      </c>
      <c r="J14" s="20" t="s">
        <v>14</v>
      </c>
      <c r="K14" s="21" t="s">
        <v>1275</v>
      </c>
      <c r="L14" s="29" t="s">
        <v>1214</v>
      </c>
      <c r="M14" s="21"/>
    </row>
    <row r="15" spans="1:13" ht="36.6" x14ac:dyDescent="0.3">
      <c r="A15" s="30"/>
      <c r="B15" s="30"/>
      <c r="C15" s="30"/>
      <c r="D15" s="30">
        <v>12</v>
      </c>
      <c r="E15" s="21" t="s">
        <v>245</v>
      </c>
      <c r="F15" s="21" t="s">
        <v>426</v>
      </c>
      <c r="G15" s="21" t="s">
        <v>426</v>
      </c>
      <c r="H15" s="21" t="s">
        <v>10</v>
      </c>
      <c r="I15" s="21" t="s">
        <v>17</v>
      </c>
      <c r="J15" s="21" t="s">
        <v>14</v>
      </c>
      <c r="K15" s="21" t="s">
        <v>1236</v>
      </c>
      <c r="L15" s="21" t="s">
        <v>814</v>
      </c>
      <c r="M15" s="21" t="s">
        <v>602</v>
      </c>
    </row>
    <row r="16" spans="1:13" s="13" customFormat="1" ht="36.6" x14ac:dyDescent="0.3">
      <c r="A16" s="20"/>
      <c r="B16" s="20"/>
      <c r="C16" s="20"/>
      <c r="D16" s="30">
        <v>13</v>
      </c>
      <c r="E16" s="20" t="s">
        <v>610</v>
      </c>
      <c r="F16" s="20" t="s">
        <v>879</v>
      </c>
      <c r="G16" s="21" t="s">
        <v>882</v>
      </c>
      <c r="H16" s="20" t="s">
        <v>1291</v>
      </c>
      <c r="I16" s="20" t="s">
        <v>17</v>
      </c>
      <c r="J16" s="21" t="s">
        <v>1299</v>
      </c>
      <c r="K16" s="21"/>
      <c r="L16" s="21" t="s">
        <v>1053</v>
      </c>
      <c r="M16" s="21"/>
    </row>
    <row r="17" spans="1:13" s="13" customFormat="1" ht="48.6" x14ac:dyDescent="0.3">
      <c r="A17" s="21"/>
      <c r="B17" s="20"/>
      <c r="C17" s="20"/>
      <c r="D17" s="30">
        <v>14</v>
      </c>
      <c r="E17" s="20" t="s">
        <v>611</v>
      </c>
      <c r="F17" s="21" t="s">
        <v>880</v>
      </c>
      <c r="G17" s="21" t="s">
        <v>881</v>
      </c>
      <c r="H17" s="21" t="s">
        <v>10</v>
      </c>
      <c r="I17" s="21" t="s">
        <v>17</v>
      </c>
      <c r="J17" s="21" t="s">
        <v>14</v>
      </c>
      <c r="K17" s="21" t="s">
        <v>1275</v>
      </c>
      <c r="L17" s="42" t="s">
        <v>1052</v>
      </c>
      <c r="M17" s="21"/>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7"/>
  <sheetViews>
    <sheetView zoomScale="80" zoomScaleNormal="80" workbookViewId="0">
      <selection activeCell="L12" sqref="L12"/>
    </sheetView>
  </sheetViews>
  <sheetFormatPr defaultColWidth="8.77734375" defaultRowHeight="14.4" x14ac:dyDescent="0.3"/>
  <cols>
    <col min="1" max="1" width="6.21875" bestFit="1" customWidth="1"/>
    <col min="2" max="2" width="9.44140625" customWidth="1"/>
    <col min="3" max="3" width="17.44140625" customWidth="1"/>
    <col min="4" max="4" width="7.44140625" customWidth="1"/>
    <col min="5" max="5" width="29.77734375" bestFit="1" customWidth="1"/>
    <col min="6" max="6" width="23.77734375" customWidth="1"/>
    <col min="7" max="7" width="17.77734375" bestFit="1" customWidth="1"/>
    <col min="8" max="8" width="9.44140625" customWidth="1"/>
    <col min="9" max="10" width="10" customWidth="1"/>
    <col min="11" max="11" width="27.5546875" style="7" customWidth="1"/>
    <col min="12" max="13" width="58.77734375" style="7" customWidth="1"/>
  </cols>
  <sheetData>
    <row r="1" spans="1:13" ht="24.6" x14ac:dyDescent="0.3">
      <c r="A1" s="25" t="s">
        <v>41</v>
      </c>
      <c r="B1" s="26" t="s">
        <v>99</v>
      </c>
      <c r="C1" s="26" t="s">
        <v>105</v>
      </c>
      <c r="D1" s="26" t="s">
        <v>5</v>
      </c>
      <c r="E1" s="26" t="s">
        <v>984</v>
      </c>
      <c r="F1" s="26" t="s">
        <v>100</v>
      </c>
      <c r="G1" s="26" t="s">
        <v>288</v>
      </c>
      <c r="H1" s="26" t="s">
        <v>6</v>
      </c>
      <c r="I1" s="26" t="s">
        <v>106</v>
      </c>
      <c r="J1" s="26" t="s">
        <v>7</v>
      </c>
      <c r="K1" s="26" t="s">
        <v>987</v>
      </c>
      <c r="L1" s="26" t="s">
        <v>8</v>
      </c>
      <c r="M1" s="26" t="s">
        <v>98</v>
      </c>
    </row>
    <row r="2" spans="1:13" ht="24.6" x14ac:dyDescent="0.3">
      <c r="A2" s="5" t="s">
        <v>12</v>
      </c>
      <c r="B2" s="5" t="s">
        <v>57</v>
      </c>
      <c r="C2" s="5"/>
      <c r="D2" s="6" t="s">
        <v>849</v>
      </c>
      <c r="E2" s="5" t="s">
        <v>4</v>
      </c>
      <c r="F2" s="5" t="s">
        <v>389</v>
      </c>
      <c r="G2" s="5" t="s">
        <v>389</v>
      </c>
      <c r="H2" s="5" t="s">
        <v>13</v>
      </c>
      <c r="I2" s="5" t="s">
        <v>11</v>
      </c>
      <c r="J2" s="5"/>
      <c r="K2" s="6"/>
      <c r="L2" s="6" t="s">
        <v>620</v>
      </c>
      <c r="M2" s="6" t="s">
        <v>102</v>
      </c>
    </row>
    <row r="3" spans="1:13" s="2" customFormat="1" ht="24" x14ac:dyDescent="0.25">
      <c r="A3" s="5" t="s">
        <v>12</v>
      </c>
      <c r="B3" s="5" t="s">
        <v>1</v>
      </c>
      <c r="C3" s="5" t="s">
        <v>214</v>
      </c>
      <c r="D3" s="6" t="s">
        <v>849</v>
      </c>
      <c r="E3" s="5" t="s">
        <v>179</v>
      </c>
      <c r="F3" s="5" t="s">
        <v>383</v>
      </c>
      <c r="G3" s="5" t="s">
        <v>383</v>
      </c>
      <c r="H3" s="5" t="s">
        <v>13</v>
      </c>
      <c r="I3" s="5" t="s">
        <v>86</v>
      </c>
      <c r="J3" s="5"/>
      <c r="K3" s="6"/>
      <c r="L3" s="6" t="s">
        <v>733</v>
      </c>
      <c r="M3" s="6" t="s">
        <v>181</v>
      </c>
    </row>
    <row r="4" spans="1:13" s="2" customFormat="1" ht="36" x14ac:dyDescent="0.25">
      <c r="A4" s="5" t="s">
        <v>12</v>
      </c>
      <c r="B4" s="5" t="s">
        <v>1</v>
      </c>
      <c r="C4" s="5" t="s">
        <v>214</v>
      </c>
      <c r="D4" s="6" t="s">
        <v>849</v>
      </c>
      <c r="E4" s="6" t="s">
        <v>232</v>
      </c>
      <c r="F4" s="5" t="s">
        <v>388</v>
      </c>
      <c r="G4" s="5" t="s">
        <v>388</v>
      </c>
      <c r="H4" s="5" t="s">
        <v>13</v>
      </c>
      <c r="I4" s="5" t="s">
        <v>86</v>
      </c>
      <c r="J4" s="5"/>
      <c r="K4" s="6"/>
      <c r="L4" s="6" t="s">
        <v>734</v>
      </c>
      <c r="M4" s="6" t="s">
        <v>390</v>
      </c>
    </row>
    <row r="5" spans="1:13" s="2" customFormat="1" ht="12" x14ac:dyDescent="0.25">
      <c r="A5" s="20"/>
      <c r="B5" s="20"/>
      <c r="C5" s="20"/>
      <c r="D5" s="20">
        <v>1</v>
      </c>
      <c r="E5" s="20" t="s">
        <v>9</v>
      </c>
      <c r="F5" s="21" t="s">
        <v>380</v>
      </c>
      <c r="G5" s="21" t="s">
        <v>381</v>
      </c>
      <c r="H5" s="20" t="s">
        <v>10</v>
      </c>
      <c r="I5" s="20" t="s">
        <v>11</v>
      </c>
      <c r="J5" s="20"/>
      <c r="K5" s="6"/>
      <c r="L5" s="21" t="s">
        <v>183</v>
      </c>
      <c r="M5" s="21" t="s">
        <v>183</v>
      </c>
    </row>
    <row r="6" spans="1:13" s="23" customFormat="1" ht="24.6" x14ac:dyDescent="0.3">
      <c r="A6" s="20"/>
      <c r="B6" s="20"/>
      <c r="C6" s="20" t="s">
        <v>214</v>
      </c>
      <c r="D6" s="20">
        <v>2</v>
      </c>
      <c r="E6" s="20" t="s">
        <v>1044</v>
      </c>
      <c r="F6" s="20" t="s">
        <v>1042</v>
      </c>
      <c r="G6" s="20" t="s">
        <v>876</v>
      </c>
      <c r="H6" s="20" t="s">
        <v>10</v>
      </c>
      <c r="I6" s="20" t="s">
        <v>11</v>
      </c>
      <c r="J6" s="20"/>
      <c r="K6" s="21"/>
      <c r="L6" s="21" t="s">
        <v>1043</v>
      </c>
      <c r="M6" s="21" t="s">
        <v>184</v>
      </c>
    </row>
    <row r="7" spans="1:13" s="23" customFormat="1" ht="60.6" x14ac:dyDescent="0.3">
      <c r="A7" s="21"/>
      <c r="B7" s="20"/>
      <c r="C7" s="20"/>
      <c r="D7" s="30">
        <v>3</v>
      </c>
      <c r="E7" s="20" t="s">
        <v>1047</v>
      </c>
      <c r="F7" s="20" t="s">
        <v>1205</v>
      </c>
      <c r="G7" s="20" t="s">
        <v>1206</v>
      </c>
      <c r="H7" s="20" t="s">
        <v>10</v>
      </c>
      <c r="I7" s="20" t="s">
        <v>11</v>
      </c>
      <c r="J7" s="20" t="s">
        <v>14</v>
      </c>
      <c r="K7" s="21" t="s">
        <v>1274</v>
      </c>
      <c r="L7" s="21" t="s">
        <v>1068</v>
      </c>
      <c r="M7" s="21" t="s">
        <v>1047</v>
      </c>
    </row>
    <row r="8" spans="1:13" s="23" customFormat="1" ht="36.6" x14ac:dyDescent="0.3">
      <c r="A8" s="21"/>
      <c r="B8" s="20"/>
      <c r="C8" s="20"/>
      <c r="D8" s="30">
        <v>4</v>
      </c>
      <c r="E8" s="20" t="s">
        <v>22</v>
      </c>
      <c r="F8" s="20" t="s">
        <v>1066</v>
      </c>
      <c r="G8" s="20" t="s">
        <v>1067</v>
      </c>
      <c r="H8" s="20" t="s">
        <v>10</v>
      </c>
      <c r="I8" s="20" t="s">
        <v>11</v>
      </c>
      <c r="J8" s="20" t="s">
        <v>14</v>
      </c>
      <c r="K8" s="21" t="s">
        <v>1267</v>
      </c>
      <c r="L8" s="21" t="s">
        <v>1050</v>
      </c>
      <c r="M8" s="21" t="s">
        <v>1048</v>
      </c>
    </row>
    <row r="9" spans="1:13" s="23" customFormat="1" ht="24.6" x14ac:dyDescent="0.3">
      <c r="A9" s="20"/>
      <c r="B9" s="20"/>
      <c r="C9" s="20"/>
      <c r="D9" s="30">
        <v>5</v>
      </c>
      <c r="E9" s="20" t="s">
        <v>246</v>
      </c>
      <c r="F9" s="20" t="s">
        <v>539</v>
      </c>
      <c r="G9" s="20" t="s">
        <v>539</v>
      </c>
      <c r="H9" s="20" t="s">
        <v>247</v>
      </c>
      <c r="I9" s="20" t="s">
        <v>93</v>
      </c>
      <c r="J9" s="20" t="s">
        <v>14</v>
      </c>
      <c r="K9" s="21" t="s">
        <v>1231</v>
      </c>
      <c r="L9" s="21" t="s">
        <v>248</v>
      </c>
      <c r="M9" s="21" t="s">
        <v>249</v>
      </c>
    </row>
    <row r="10" spans="1:13" s="23" customFormat="1" x14ac:dyDescent="0.3">
      <c r="A10" s="20"/>
      <c r="B10" s="20"/>
      <c r="C10" s="20"/>
      <c r="D10" s="30">
        <v>6</v>
      </c>
      <c r="E10" s="20" t="s">
        <v>1141</v>
      </c>
      <c r="F10" s="21" t="s">
        <v>745</v>
      </c>
      <c r="G10" s="21" t="s">
        <v>745</v>
      </c>
      <c r="H10" s="20" t="s">
        <v>10</v>
      </c>
      <c r="I10" s="20" t="s">
        <v>93</v>
      </c>
      <c r="J10" s="20"/>
      <c r="K10" s="21"/>
      <c r="L10" s="20" t="s">
        <v>186</v>
      </c>
      <c r="M10" s="21" t="s">
        <v>185</v>
      </c>
    </row>
    <row r="11" spans="1:13" s="23" customFormat="1" ht="36.6" x14ac:dyDescent="0.3">
      <c r="A11" s="20"/>
      <c r="B11" s="20"/>
      <c r="C11" s="20" t="s">
        <v>214</v>
      </c>
      <c r="D11" s="30">
        <v>7</v>
      </c>
      <c r="E11" s="20" t="s">
        <v>1159</v>
      </c>
      <c r="F11" s="20" t="s">
        <v>1069</v>
      </c>
      <c r="G11" s="20" t="s">
        <v>1070</v>
      </c>
      <c r="H11" s="20" t="s">
        <v>10</v>
      </c>
      <c r="I11" s="20" t="s">
        <v>11</v>
      </c>
      <c r="J11" s="20" t="s">
        <v>14</v>
      </c>
      <c r="K11" s="21" t="s">
        <v>1275</v>
      </c>
      <c r="L11" s="21" t="s">
        <v>1515</v>
      </c>
      <c r="M11" s="20" t="s">
        <v>195</v>
      </c>
    </row>
    <row r="12" spans="1:13" s="23" customFormat="1" ht="36.6" x14ac:dyDescent="0.3">
      <c r="A12" s="20"/>
      <c r="B12" s="20"/>
      <c r="C12" s="20"/>
      <c r="D12" s="30">
        <v>8</v>
      </c>
      <c r="E12" s="20" t="s">
        <v>1160</v>
      </c>
      <c r="F12" s="20" t="s">
        <v>1071</v>
      </c>
      <c r="G12" s="20" t="s">
        <v>1072</v>
      </c>
      <c r="H12" s="20" t="s">
        <v>10</v>
      </c>
      <c r="I12" s="20" t="s">
        <v>11</v>
      </c>
      <c r="J12" s="20"/>
      <c r="K12" s="21"/>
      <c r="L12" s="21" t="s">
        <v>1516</v>
      </c>
      <c r="M12" s="20" t="s">
        <v>428</v>
      </c>
    </row>
    <row r="13" spans="1:13" s="23" customFormat="1" ht="24.6" x14ac:dyDescent="0.3">
      <c r="A13" s="20"/>
      <c r="B13" s="20"/>
      <c r="C13" s="20"/>
      <c r="D13" s="30">
        <v>9</v>
      </c>
      <c r="E13" s="20" t="s">
        <v>1138</v>
      </c>
      <c r="F13" s="20" t="s">
        <v>1007</v>
      </c>
      <c r="G13" s="20" t="s">
        <v>1008</v>
      </c>
      <c r="H13" s="20" t="s">
        <v>10</v>
      </c>
      <c r="I13" s="20" t="s">
        <v>11</v>
      </c>
      <c r="J13" s="20" t="s">
        <v>14</v>
      </c>
      <c r="K13" s="21" t="s">
        <v>1279</v>
      </c>
      <c r="L13" s="21" t="s">
        <v>1303</v>
      </c>
      <c r="M13" s="20" t="s">
        <v>1009</v>
      </c>
    </row>
    <row r="14" spans="1:13" s="23" customFormat="1" ht="24.6" x14ac:dyDescent="0.3">
      <c r="A14" s="20"/>
      <c r="B14" s="20"/>
      <c r="C14" s="20"/>
      <c r="D14" s="30">
        <v>10</v>
      </c>
      <c r="E14" s="20" t="s">
        <v>1487</v>
      </c>
      <c r="F14" s="20" t="s">
        <v>1488</v>
      </c>
      <c r="G14" s="20" t="s">
        <v>1489</v>
      </c>
      <c r="H14" s="20" t="s">
        <v>10</v>
      </c>
      <c r="I14" s="20" t="s">
        <v>17</v>
      </c>
      <c r="J14" s="20" t="s">
        <v>14</v>
      </c>
      <c r="K14" s="21" t="s">
        <v>1276</v>
      </c>
      <c r="L14" s="20" t="s">
        <v>187</v>
      </c>
      <c r="M14" s="20" t="s">
        <v>187</v>
      </c>
    </row>
    <row r="15" spans="1:13" s="23" customFormat="1" ht="24.6" x14ac:dyDescent="0.3">
      <c r="A15" s="20"/>
      <c r="B15" s="20"/>
      <c r="C15" s="20"/>
      <c r="D15" s="30">
        <v>11</v>
      </c>
      <c r="E15" s="20" t="s">
        <v>1490</v>
      </c>
      <c r="F15" s="20" t="s">
        <v>1491</v>
      </c>
      <c r="G15" s="20" t="s">
        <v>1491</v>
      </c>
      <c r="H15" s="20" t="s">
        <v>10</v>
      </c>
      <c r="I15" s="20" t="s">
        <v>17</v>
      </c>
      <c r="J15" s="20" t="s">
        <v>14</v>
      </c>
      <c r="K15" s="21" t="s">
        <v>1277</v>
      </c>
      <c r="L15" s="20" t="s">
        <v>545</v>
      </c>
      <c r="M15" s="21" t="s">
        <v>546</v>
      </c>
    </row>
    <row r="16" spans="1:13" s="23" customFormat="1" ht="36.6" x14ac:dyDescent="0.3">
      <c r="A16" s="20"/>
      <c r="B16" s="20"/>
      <c r="C16" s="20"/>
      <c r="D16" s="30">
        <v>12</v>
      </c>
      <c r="E16" s="20" t="s">
        <v>1010</v>
      </c>
      <c r="F16" s="20" t="s">
        <v>1011</v>
      </c>
      <c r="G16" s="20" t="s">
        <v>1011</v>
      </c>
      <c r="H16" s="20" t="s">
        <v>10</v>
      </c>
      <c r="I16" s="20" t="s">
        <v>17</v>
      </c>
      <c r="J16" s="20" t="s">
        <v>14</v>
      </c>
      <c r="K16" s="21" t="s">
        <v>1278</v>
      </c>
      <c r="L16" s="21" t="s">
        <v>1012</v>
      </c>
      <c r="M16" s="20"/>
    </row>
    <row r="17" spans="1:13" s="23" customFormat="1" ht="36.6" x14ac:dyDescent="0.3">
      <c r="A17" s="20"/>
      <c r="B17" s="20"/>
      <c r="C17" s="20"/>
      <c r="D17" s="30">
        <v>13</v>
      </c>
      <c r="E17" s="20" t="s">
        <v>1013</v>
      </c>
      <c r="F17" s="20" t="s">
        <v>1014</v>
      </c>
      <c r="G17" s="20" t="s">
        <v>1015</v>
      </c>
      <c r="H17" s="20" t="s">
        <v>10</v>
      </c>
      <c r="I17" s="20" t="s">
        <v>11</v>
      </c>
      <c r="J17" s="20" t="s">
        <v>14</v>
      </c>
      <c r="K17" s="21" t="s">
        <v>1280</v>
      </c>
      <c r="L17" s="21" t="s">
        <v>1016</v>
      </c>
      <c r="M17" s="20"/>
    </row>
    <row r="18" spans="1:13" s="23" customFormat="1" ht="37.950000000000003" customHeight="1" x14ac:dyDescent="0.3">
      <c r="A18" s="20"/>
      <c r="B18" s="20"/>
      <c r="C18" s="20"/>
      <c r="D18" s="30">
        <v>14</v>
      </c>
      <c r="E18" s="20" t="s">
        <v>1017</v>
      </c>
      <c r="F18" s="20" t="s">
        <v>1167</v>
      </c>
      <c r="G18" s="20" t="s">
        <v>1168</v>
      </c>
      <c r="H18" s="20" t="s">
        <v>1295</v>
      </c>
      <c r="I18" s="20" t="s">
        <v>17</v>
      </c>
      <c r="J18" s="20" t="s">
        <v>1300</v>
      </c>
      <c r="K18" s="21"/>
      <c r="L18" s="21" t="s">
        <v>1018</v>
      </c>
      <c r="M18" s="20"/>
    </row>
    <row r="19" spans="1:13" s="23" customFormat="1" ht="24.6" x14ac:dyDescent="0.3">
      <c r="A19" s="20"/>
      <c r="B19" s="20"/>
      <c r="C19" s="20"/>
      <c r="D19" s="30">
        <v>15</v>
      </c>
      <c r="E19" s="20" t="s">
        <v>1062</v>
      </c>
      <c r="F19" s="20" t="s">
        <v>1073</v>
      </c>
      <c r="G19" s="20" t="s">
        <v>1162</v>
      </c>
      <c r="H19" s="20" t="s">
        <v>1166</v>
      </c>
      <c r="I19" s="20" t="s">
        <v>11</v>
      </c>
      <c r="J19" s="20" t="s">
        <v>1298</v>
      </c>
      <c r="K19" s="21"/>
      <c r="L19" s="21" t="s">
        <v>1165</v>
      </c>
      <c r="M19" s="21"/>
    </row>
    <row r="20" spans="1:13" s="23" customFormat="1" ht="88.2" customHeight="1" x14ac:dyDescent="0.3">
      <c r="A20" s="20"/>
      <c r="B20" s="20"/>
      <c r="C20" s="20"/>
      <c r="D20" s="30">
        <v>16</v>
      </c>
      <c r="E20" s="20" t="s">
        <v>1064</v>
      </c>
      <c r="F20" s="20" t="s">
        <v>1074</v>
      </c>
      <c r="G20" s="20" t="s">
        <v>1161</v>
      </c>
      <c r="H20" s="20" t="s">
        <v>10</v>
      </c>
      <c r="I20" s="20" t="s">
        <v>11</v>
      </c>
      <c r="J20" s="20" t="s">
        <v>14</v>
      </c>
      <c r="K20" s="21" t="s">
        <v>1275</v>
      </c>
      <c r="L20" s="29" t="s">
        <v>1214</v>
      </c>
      <c r="M20" s="21"/>
    </row>
    <row r="21" spans="1:13" x14ac:dyDescent="0.3">
      <c r="A21" s="20"/>
      <c r="B21" s="20"/>
      <c r="C21" s="20"/>
      <c r="D21" s="30">
        <v>17</v>
      </c>
      <c r="E21" s="20" t="s">
        <v>1139</v>
      </c>
      <c r="F21" s="21" t="s">
        <v>813</v>
      </c>
      <c r="G21" s="21" t="s">
        <v>796</v>
      </c>
      <c r="H21" s="20" t="s">
        <v>13</v>
      </c>
      <c r="I21" s="20" t="s">
        <v>84</v>
      </c>
      <c r="J21" s="20"/>
      <c r="K21" s="6"/>
      <c r="L21" s="20" t="s">
        <v>189</v>
      </c>
      <c r="M21" s="21" t="s">
        <v>188</v>
      </c>
    </row>
    <row r="22" spans="1:13" x14ac:dyDescent="0.3">
      <c r="A22" s="20"/>
      <c r="B22" s="20"/>
      <c r="C22" s="20"/>
      <c r="D22" s="30">
        <v>18</v>
      </c>
      <c r="E22" s="20" t="s">
        <v>1140</v>
      </c>
      <c r="F22" s="20" t="s">
        <v>767</v>
      </c>
      <c r="G22" s="20" t="s">
        <v>779</v>
      </c>
      <c r="H22" s="20" t="s">
        <v>13</v>
      </c>
      <c r="I22" s="20" t="s">
        <v>84</v>
      </c>
      <c r="J22" s="20"/>
      <c r="K22" s="6"/>
      <c r="L22" s="20" t="s">
        <v>190</v>
      </c>
      <c r="M22" s="21" t="s">
        <v>193</v>
      </c>
    </row>
    <row r="23" spans="1:13" s="13" customFormat="1" x14ac:dyDescent="0.3">
      <c r="A23" s="21"/>
      <c r="B23" s="21"/>
      <c r="C23" s="21"/>
      <c r="D23" s="30">
        <v>19</v>
      </c>
      <c r="E23" s="21" t="s">
        <v>612</v>
      </c>
      <c r="F23" s="20" t="s">
        <v>893</v>
      </c>
      <c r="G23" s="20" t="s">
        <v>894</v>
      </c>
      <c r="H23" s="29" t="s">
        <v>1287</v>
      </c>
      <c r="I23" s="21" t="s">
        <v>84</v>
      </c>
      <c r="J23" s="21" t="s">
        <v>1301</v>
      </c>
      <c r="K23" s="6"/>
      <c r="L23" s="21" t="s">
        <v>815</v>
      </c>
      <c r="M23" s="21" t="s">
        <v>612</v>
      </c>
    </row>
    <row r="24" spans="1:13" x14ac:dyDescent="0.3">
      <c r="A24" s="21"/>
      <c r="B24" s="21"/>
      <c r="C24" s="21"/>
      <c r="D24" s="30">
        <v>20</v>
      </c>
      <c r="E24" s="21" t="s">
        <v>117</v>
      </c>
      <c r="F24" s="20" t="s">
        <v>892</v>
      </c>
      <c r="G24" s="21" t="s">
        <v>895</v>
      </c>
      <c r="H24" s="29" t="s">
        <v>1287</v>
      </c>
      <c r="I24" s="21" t="s">
        <v>84</v>
      </c>
      <c r="J24" s="2" t="s">
        <v>1301</v>
      </c>
      <c r="K24" s="6"/>
      <c r="L24" s="21" t="s">
        <v>818</v>
      </c>
      <c r="M24" s="21" t="s">
        <v>117</v>
      </c>
    </row>
    <row r="25" spans="1:13" ht="24.6" x14ac:dyDescent="0.3">
      <c r="A25" s="20"/>
      <c r="B25" s="20"/>
      <c r="C25" s="20"/>
      <c r="D25" s="30">
        <v>21</v>
      </c>
      <c r="E25" s="20" t="s">
        <v>39</v>
      </c>
      <c r="F25" s="20" t="s">
        <v>406</v>
      </c>
      <c r="G25" s="20" t="s">
        <v>407</v>
      </c>
      <c r="H25" s="20" t="s">
        <v>10</v>
      </c>
      <c r="I25" s="20" t="s">
        <v>93</v>
      </c>
      <c r="J25" s="20" t="s">
        <v>14</v>
      </c>
      <c r="K25" s="21" t="s">
        <v>1237</v>
      </c>
      <c r="L25" s="21" t="s">
        <v>191</v>
      </c>
      <c r="M25" s="21" t="s">
        <v>194</v>
      </c>
    </row>
    <row r="26" spans="1:13" x14ac:dyDescent="0.3">
      <c r="A26" s="20"/>
      <c r="B26" s="32"/>
      <c r="C26" s="20"/>
      <c r="D26" s="30">
        <v>22</v>
      </c>
      <c r="E26" s="31" t="s">
        <v>589</v>
      </c>
      <c r="F26" s="33" t="s">
        <v>598</v>
      </c>
      <c r="G26" s="33" t="s">
        <v>598</v>
      </c>
      <c r="H26" s="31" t="s">
        <v>10</v>
      </c>
      <c r="I26" s="31" t="s">
        <v>93</v>
      </c>
      <c r="J26" s="32"/>
      <c r="K26" s="6"/>
      <c r="L26" s="31" t="s">
        <v>588</v>
      </c>
      <c r="M26" s="31" t="s">
        <v>588</v>
      </c>
    </row>
    <row r="27" spans="1:13" ht="24.6" x14ac:dyDescent="0.3">
      <c r="A27" s="30"/>
      <c r="B27" s="30"/>
      <c r="C27" s="30"/>
      <c r="D27" s="30">
        <v>23</v>
      </c>
      <c r="E27" s="21" t="s">
        <v>245</v>
      </c>
      <c r="F27" s="21" t="s">
        <v>427</v>
      </c>
      <c r="G27" s="21" t="s">
        <v>427</v>
      </c>
      <c r="H27" s="21" t="s">
        <v>10</v>
      </c>
      <c r="I27" s="21" t="s">
        <v>17</v>
      </c>
      <c r="J27" s="21" t="s">
        <v>14</v>
      </c>
      <c r="K27" s="21" t="s">
        <v>1236</v>
      </c>
      <c r="L27" s="21" t="s">
        <v>814</v>
      </c>
      <c r="M27" s="21" t="s">
        <v>602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4B29A9F606E64BBE0B94B46ABEDBD5" ma:contentTypeVersion="1" ma:contentTypeDescription="Create a new document." ma:contentTypeScope="" ma:versionID="ad12f995843361ff338b3798f1f5f41c">
  <xsd:schema xmlns:xsd="http://www.w3.org/2001/XMLSchema" xmlns:xs="http://www.w3.org/2001/XMLSchema" xmlns:p="http://schemas.microsoft.com/office/2006/metadata/properties" xmlns:ns2="4d5313c0-c1e6-4122-afa9-da1ccdba405d" targetNamespace="http://schemas.microsoft.com/office/2006/metadata/properties" ma:root="true" ma:fieldsID="8fda66a02b6b5d1f39f2000ab0f58af4" ns2:_="">
    <xsd:import namespace="4d5313c0-c1e6-4122-afa9-da1ccdba405d"/>
    <xsd:element name="properties">
      <xsd:complexType>
        <xsd:sequence>
          <xsd:element name="documentManagement">
            <xsd:complexType>
              <xsd:all>
                <xsd:element ref="ns2:TaxKeywordTaxHTField" minOccurs="0"/>
                <xsd:element ref="ns2:TaxCatchAll" minOccurs="0"/>
                <xsd:element ref="ns2:TaxCatchAllLabel"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Props1.xml><?xml version="1.0" encoding="utf-8"?>
<ds:datastoreItem xmlns:ds="http://schemas.openxmlformats.org/officeDocument/2006/customXml" ds:itemID="{0F67F35D-1CDD-4110-B6CE-1A6865489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CD8B6C-25F0-471A-A724-387AC1B5060F}">
  <ds:schemaRefs>
    <ds:schemaRef ds:uri="http://schemas.microsoft.com/sharepoint/v3/contenttype/forms"/>
  </ds:schemaRefs>
</ds:datastoreItem>
</file>

<file path=customXml/itemProps3.xml><?xml version="1.0" encoding="utf-8"?>
<ds:datastoreItem xmlns:ds="http://schemas.openxmlformats.org/officeDocument/2006/customXml" ds:itemID="{60949D59-0B5B-44ED-ACEF-9231A5F5D889}">
  <ds:schemaRefs>
    <ds:schemaRef ds:uri="http://schemas.microsoft.com/office/2006/metadata/properties"/>
    <ds:schemaRef ds:uri="http://purl.org/dc/elements/1.1/"/>
    <ds:schemaRef ds:uri="http://www.w3.org/XML/1998/namespace"/>
    <ds:schemaRef ds:uri="http://schemas.microsoft.com/office/2006/documentManagement/types"/>
    <ds:schemaRef ds:uri="http://purl.org/dc/terms/"/>
    <ds:schemaRef ds:uri="http://purl.org/dc/dcmitype/"/>
    <ds:schemaRef ds:uri="4d5313c0-c1e6-4122-afa9-da1ccdba405d"/>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Model v1.19.31</vt:lpstr>
      <vt:lpstr>Design</vt:lpstr>
      <vt:lpstr>Temporal Event</vt:lpstr>
      <vt:lpstr>Location</vt:lpstr>
      <vt:lpstr>Sampling Details</vt:lpstr>
      <vt:lpstr>Vessel Selection</vt:lpstr>
      <vt:lpstr>Fishing Trip</vt:lpstr>
      <vt:lpstr>Fishing Operation</vt:lpstr>
      <vt:lpstr>Onshore Event</vt:lpstr>
      <vt:lpstr>Landing event</vt:lpstr>
      <vt:lpstr>Species Selection</vt:lpstr>
      <vt:lpstr>Sample</vt:lpstr>
      <vt:lpstr>Frequency Measure</vt:lpstr>
      <vt:lpstr>Biological Variable</vt:lpstr>
    </vt:vector>
  </TitlesOfParts>
  <Company>DTU AQUA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Birch Håkansson</dc:creator>
  <cp:lastModifiedBy>Henrik Kjems-Nielsen</cp:lastModifiedBy>
  <dcterms:created xsi:type="dcterms:W3CDTF">2017-05-15T14:53:30Z</dcterms:created>
  <dcterms:modified xsi:type="dcterms:W3CDTF">2026-06-12T13:13:51Z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0x010100584B29A9F606E64BBE0B94B46ABEDBD5</vt:lpwstr>
  </property>
  <property fmtid="{D5CDD505-2E9C-101B-9397-08002B2CF9AE}" pid="3" name="TaxKeyword">
    <vt:lpwstr/>
  </property>
</Properties>
</file>